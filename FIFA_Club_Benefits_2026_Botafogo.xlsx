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Resumo e Regras" sheetId="1" state="visible" r:id="rId3"/>
    <sheet name="2. Lista FIFA (validar)" sheetId="2" state="visible" r:id="rId4"/>
    <sheet name="3. Claims (faltantes)" sheetId="3" state="visible" r:id="rId5"/>
    <sheet name="4. Janelas Eliminatorias" sheetId="4" state="visible" r:id="rId6"/>
    <sheet name="5. Base de Coleta" sheetId="5" state="visible" r:id="rId7"/>
    <sheet name="6. Elenco 2024" sheetId="6" state="visible" r:id="rId8"/>
    <sheet name="7. Elenco 2025" sheetId="7" state="visible" r:id="rId9"/>
    <sheet name="8. Lacunas 2022-2023" sheetId="8" state="visible" r:id="rId10"/>
    <sheet name="9. Veredito por atleta"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<sst xmlns="http://schemas.openxmlformats.org/spreadsheetml/2006/main" count="690" uniqueCount="363">
  <si>
    <t xml:space="preserve">FIFA Club Benefits Programme 2026 - Botafogo SAF</t>
  </si>
  <si>
    <t xml:space="preserve">Documento de apoio ao juridico | levantamento de cessoes para Eliminatorias e Copa do Mundo 2026</t>
  </si>
  <si>
    <t xml:space="preserve">COMO O DINHEIRO E CALCULADO</t>
  </si>
  <si>
    <t xml:space="preserve">Item</t>
  </si>
  <si>
    <t xml:space="preserve">Regra</t>
  </si>
  <si>
    <t xml:space="preserve">Fonte</t>
  </si>
  <si>
    <t xml:space="preserve">Fundo total do ciclo 2026</t>
  </si>
  <si>
    <t xml:space="preserve">USD 355 milhoes (aumento de ~70% vs. Catar 2022, que teve USD 209 mi)</t>
  </si>
  <si>
    <t xml:space="preserve">FIFA - media release 05/06/2026</t>
  </si>
  <si>
    <t xml:space="preserve">Parcela ELIMINATORIAS</t>
  </si>
  <si>
    <t xml:space="preserve">USD 100 milhoes, rateados por jogador X partida. Com 905 jogos de Eliminatorias disputados, o valor estimado e de ~USD 2.360 por jogador por partida.</t>
  </si>
  <si>
    <t xml:space="preserve">Criterio das Eliminatorias</t>
  </si>
  <si>
    <t xml:space="preserve">O que gera direito e o jogador ter sido RELACIONADO na sumula da partida (matchday squad). NAO importa se ele jogou, quantos minutos fez ou se ficou no banco.</t>
  </si>
  <si>
    <t xml:space="preserve">FIFA / EFC</t>
  </si>
  <si>
    <t xml:space="preserve">Parcela COPA DO MUNDO</t>
  </si>
  <si>
    <t xml:space="preserve">USD 250 milhoes, rateados por jogador X DIA de cessao. Piso estimado de ~USD 5.000 por jogador por dia.</t>
  </si>
  <si>
    <t xml:space="preserve">Janela de contagem da Copa</t>
  </si>
  <si>
    <t xml:space="preserve">Da abertura do periodo de cessao (aprox. 10 dias antes do jogo de abertura) ate o dia seguinte a ultima partida da selecao do jogador.</t>
  </si>
  <si>
    <t xml:space="preserve">EFC - Club Benefits Programme</t>
  </si>
  <si>
    <t xml:space="preserve">Quem recebe</t>
  </si>
  <si>
    <t xml:space="preserve">O clube que DETINHA O REGISTRO do jogador na data da cessao. Vendas posteriores nao transferem o direito.</t>
  </si>
  <si>
    <t xml:space="preserve">Reserva</t>
  </si>
  <si>
    <t xml:space="preserve">USD 5 milhoes para custos administrativos e destinacao ao futebol de clubes (acordo FIFA/EFC).</t>
  </si>
  <si>
    <t xml:space="preserve">IMPLICACAO PRATICA PARA O LEVANTAMENTO</t>
  </si>
  <si>
    <t xml:space="preserve">1. Para as ELIMINATORIAS, minutagem e titularidade sao IRRELEVANTES para o calculo. O dado critico e binario: o jogador constou da sumula daquele jogo?</t>
  </si>
  <si>
    <t xml:space="preserve">2. Por isso, o maior risco financeiro nao esta em detalhar minutos, e sim em DEIXAR JOGADOR DE FORA da lista da FIFA. Cada nome esquecido custa ~USD 2.360 por partida.</t>
  </si>
  <si>
    <t xml:space="preserve">3. O segundo risco e ACEITAR partida que nao e nossa: se o jogador ja havia sido vendido na data do jogo, o direito e do clube seguinte e a atribuicao deve ser rejeitada.</t>
  </si>
  <si>
    <t xml:space="preserve">4. Minutagem e banco continuam uteis para o relatorio interno de carga/gestao de elenco, mas nao movem o valor a receber. Estao na aba 5 como campo opcional.</t>
  </si>
  <si>
    <t xml:space="preserve">AS 3 ACOES QUE A PLATAFORMA DA FIFA EXIGE</t>
  </si>
  <si>
    <t xml:space="preserve">Acao</t>
  </si>
  <si>
    <t xml:space="preserve">O que fazer</t>
  </si>
  <si>
    <t xml:space="preserve">Onde esta neste arquivo</t>
  </si>
  <si>
    <t xml:space="preserve">1. Revisar</t>
  </si>
  <si>
    <t xml:space="preserve">Conferir se os jogadores listados estao corretos e se o numero de partidas atribuidas bate.</t>
  </si>
  <si>
    <t xml:space="preserve">Aba 2 - Lista FIFA (validar)</t>
  </si>
  <si>
    <t xml:space="preserve">2. Rejeitar</t>
  </si>
  <si>
    <t xml:space="preserve">Rejeitar jogadores/partidas atribuidos ao Botafogo que nao foram cedidos por nos naquele jogo.</t>
  </si>
  <si>
    <t xml:space="preserve">Aba 2 - coluna Acao sugerida</t>
  </si>
  <si>
    <t xml:space="preserve">3. Reivindicar</t>
  </si>
  <si>
    <t xml:space="preserve">Buscar na ferramenta de pesquisa e reivindicar (claim) os jogadores que ficaram de fora.</t>
  </si>
  <si>
    <t xml:space="preserve">Aba 3 - Claims (faltantes)</t>
  </si>
  <si>
    <t xml:space="preserve">ORIGEM DA LISTA DA FIFA (texto da plataforma)</t>
  </si>
  <si>
    <t xml:space="preserve">- A lista foi preparada com dados do FIFA Transfer Matching System (TMS) e dos sistemas nacionais de registro.</t>
  </si>
  <si>
    <t xml:space="preserve">- As acoes do clube na plataforma sao INDICATIVAS: auxiliam a FIFA no calculo, mas o direito final e definido pela FIFA apos o termino do torneio e comunicado ao clube por e-mail.</t>
  </si>
  <si>
    <t xml:space="preserve">- O clube nao visualiza acoes de outros clubes na plataforma.</t>
  </si>
  <si>
    <t xml:space="preserve">- Esta tela cobre SOMENTE as partidas de Eliminatorias. A cota da fase final da Copa (caso do Danilo) e outro rateio.</t>
  </si>
  <si>
    <t xml:space="preserve">Lista apresentada pela FIFA - Player Releases for S.a.f. Botafogo</t>
  </si>
  <si>
    <t xml:space="preserve">Numeros conferidos no print em resolucao cheia (Total 8 jogadores, Page 1 of 1 - a lista esta completa, nada oculto por paginacao). A FIFA montou a lista cruzando o Transfer Matching System com os sistemas nacionais de registro: os erros sao de REGISTRO, nao de sumula.</t>
  </si>
  <si>
    <t xml:space="preserve">#</t>
  </si>
  <si>
    <t xml:space="preserve">Jogador</t>
  </si>
  <si>
    <t xml:space="preserve">Selecao</t>
  </si>
  <si>
    <t xml:space="preserve">Assigned Matches (FIFA)</t>
  </si>
  <si>
    <t xml:space="preserve">Maximo possivel na janela do clube</t>
  </si>
  <si>
    <t xml:space="preserve">Divergencia</t>
  </si>
  <si>
    <t xml:space="preserve">Janela de registro no Botafogo</t>
  </si>
  <si>
    <t xml:space="preserve">Leitura</t>
  </si>
  <si>
    <t xml:space="preserve">ALMADA Thiago</t>
  </si>
  <si>
    <t xml:space="preserve">Argentina</t>
  </si>
  <si>
    <t xml:space="preserve">abr/2024 a jan/2025 (saida p/ Lyon)</t>
  </si>
  <si>
    <t xml:space="preserve">IMPOSSIVEL. A Argentina disputou apenas 6 Eliminatorias enquanto ele era nosso (set, out e nov/2024). As 3 excedentes so podem ser das janelas de 2025, ja fora do clube. Pelas convocacoes noticiadas (out e nov/24), o numero real tende a 4.</t>
  </si>
  <si>
    <t xml:space="preserve">REJEITAR excedente</t>
  </si>
  <si>
    <t xml:space="preserve">VITINHO</t>
  </si>
  <si>
    <t xml:space="preserve">Brasil</t>
  </si>
  <si>
    <t xml:space="preserve">Verificar de qual atleta se trata</t>
  </si>
  <si>
    <t xml:space="preserve">Confirmado: Chile e Bolivia, set/2025, ja no Botafogo. Numero da FIFA esta correto.</t>
  </si>
  <si>
    <t xml:space="preserve">ACEITAR</t>
  </si>
  <si>
    <t xml:space="preserve">LUCAS PERRI</t>
  </si>
  <si>
    <t xml:space="preserve">ate jan/2025 (saida p/ Lyon)</t>
  </si>
  <si>
    <t xml:space="preserve">6 e exatamente o total de Eliminatorias que o Brasil jogou em 2024. Coincidencia suspeita: indica atribuicao automatica por periodo de registro, e nao por cessao efetiva.</t>
  </si>
  <si>
    <t xml:space="preserve">Abrir jogo a jogo</t>
  </si>
  <si>
    <t xml:space="preserve">ADRYELSON</t>
  </si>
  <si>
    <t xml:space="preserve">ate jan/2024</t>
  </si>
  <si>
    <t xml:space="preserve">Convocado por Fernando Diniz em nov/2023. A janela teve 2 jogos - conferir se cabe reivindicar o segundo.</t>
  </si>
  <si>
    <t xml:space="preserve">Verificar se falta 1</t>
  </si>
  <si>
    <t xml:space="preserve">LOOR Cristhian</t>
  </si>
  <si>
    <t xml:space="preserve">Equador</t>
  </si>
  <si>
    <t xml:space="preserve">a partir de jun/2025 (Mundial de Clubes)</t>
  </si>
  <si>
    <t xml:space="preserve">Goleiro de 19 anos vindo do Independiente del Valle. Confirmar se a cessao ja ocorreu com registro nosso.</t>
  </si>
  <si>
    <t xml:space="preserve">Confirmar registro</t>
  </si>
  <si>
    <t xml:space="preserve">MONTES Jacob</t>
  </si>
  <si>
    <t xml:space="preserve">Nicaragua</t>
  </si>
  <si>
    <t xml:space="preserve">Verificar</t>
  </si>
  <si>
    <t xml:space="preserve">Eliminatorias da CONCACAF, calendario proprio. Confirmar vinculo e datas.</t>
  </si>
  <si>
    <t xml:space="preserve">LUIZ HENRIQUE</t>
  </si>
  <si>
    <t xml:space="preserve">2024 ate jul/2025 (saida p/ Zenit)</t>
  </si>
  <si>
    <t xml:space="preserve">Fecha perfeitamente: out/24, nov/24, mar/25 e jun/25, 2 jogos cada. Nao pega set/2025 porque ja estava no Zenit.</t>
  </si>
  <si>
    <t xml:space="preserve">SAVARINO Jefferson</t>
  </si>
  <si>
    <t xml:space="preserve">Venezuela</t>
  </si>
  <si>
    <t xml:space="preserve">todo o ciclo</t>
  </si>
  <si>
    <t xml:space="preserve">Maior volume da lista. O risco aqui e o inverso: conferir se nao FALTAM janelas dele.</t>
  </si>
  <si>
    <t xml:space="preserve">Aceitar e checar faltas</t>
  </si>
  <si>
    <t xml:space="preserve">TOTAL</t>
  </si>
  <si>
    <t xml:space="preserve">Valor bruto da lista COMO ESTA, a ~USD 2.360/jogo. Nao e o valor final: parte tende a cair na revisao e parte a entrar pelos claims.</t>
  </si>
  <si>
    <t xml:space="preserve">COMO ABRIR JOGO A JOGO: na plataforma, clicar sobre o nome do jogador abre todas as partidas atribuidas a ele. E esse detalhe que permite rejeitar partida especifica em vez do atleta inteiro.</t>
  </si>
  <si>
    <t xml:space="preserve">ARGUMENTO PARA REJEICAO E PARA CLAIM: como a lista foi montada a partir do TMS e dos registros nacionais, a prova documental e a data de registro/transferencia no TMS somada a sumula oficial da partida.</t>
  </si>
  <si>
    <t xml:space="preserve">ATENCAO: o clube nao enxerga o que os outros clubes fizeram. Nao ha como saber se Lyon ou Zenit ja reivindicaram as mesmas partidas.</t>
  </si>
  <si>
    <t xml:space="preserve">Candidatos a reivindicacao (claim) - nomes ausentes da lista da FIFA</t>
  </si>
  <si>
    <t xml:space="preserve">Levantados por pesquisa aberta em noticias das convocacoes. TODOS precisam ser confirmados na sumula oficial de cada partida antes do claim.</t>
  </si>
  <si>
    <t xml:space="preserve">Janela de convocacao</t>
  </si>
  <si>
    <t xml:space="preserve">Evidencia encontrada</t>
  </si>
  <si>
    <t xml:space="preserve">Jogos estimados</t>
  </si>
  <si>
    <t xml:space="preserve">Prioridade</t>
  </si>
  <si>
    <t xml:space="preserve">IGOR JESUS</t>
  </si>
  <si>
    <t xml:space="preserve">out/2024 e nov/2024</t>
  </si>
  <si>
    <t xml:space="preserve">Convocado por Dorival Junior em 27/09/2024 para Chile e Peru (titular na estreia). Reconvocado em nov/2024 para Venezuela e Uruguai, tambem como titular.</t>
  </si>
  <si>
    <t xml:space="preserve">ALTA</t>
  </si>
  <si>
    <t xml:space="preserve">ALEX TELLES</t>
  </si>
  <si>
    <t xml:space="preserve">out/2024</t>
  </si>
  <si>
    <t xml:space="preserve">Consta na relacao de convocados do Brasileirao para a data FIFA de outubro de 2024 como atleta do Botafogo.</t>
  </si>
  <si>
    <t xml:space="preserve">GATITO FERNANDEZ</t>
  </si>
  <si>
    <t xml:space="preserve">Paraguai</t>
  </si>
  <si>
    <t xml:space="preserve">out/2024 e janelas anteriores</t>
  </si>
  <si>
    <t xml:space="preserve">Convocado pelo Paraguai em out/2024 pelo Botafogo; foi titular nos dois jogos da data FIFA anterior.</t>
  </si>
  <si>
    <t xml:space="preserve">BASTOS</t>
  </si>
  <si>
    <t xml:space="preserve">Angola</t>
  </si>
  <si>
    <t xml:space="preserve">out/2024 e demais janelas CAF</t>
  </si>
  <si>
    <t xml:space="preserve">Convocado por Angola pelo Botafogo em set e out/2024. Eliminatorias africanas tem calendario proprio.</t>
  </si>
  <si>
    <t xml:space="preserve">DANILO SANTOS</t>
  </si>
  <si>
    <t xml:space="preserve">Copa do Mundo 2026 (fase final)</t>
  </si>
  <si>
    <t xml:space="preserve">Unico representante do Botafogo na Copa. Brasil eliminado pela Noruega nas oitavas em 05/07/2026.</t>
  </si>
  <si>
    <t xml:space="preserve">ALTA - via cota da Copa</t>
  </si>
  <si>
    <t xml:space="preserve">SANTIAGO RODRIGUEZ</t>
  </si>
  <si>
    <t xml:space="preserve">Uruguai</t>
  </si>
  <si>
    <t xml:space="preserve">janelas de 2025 - verificar</t>
  </si>
  <si>
    <t xml:space="preserve">Verificar se houve convocacao ja com registro no Botafogo.</t>
  </si>
  <si>
    <t xml:space="preserve">MEDIA - verificar</t>
  </si>
  <si>
    <t xml:space="preserve">Ganho potencial estimado dos claims de Eliminatorias (jogos estimados x USD 2.360):</t>
  </si>
  <si>
    <t xml:space="preserve">DANILO SANTOS - calculo pela cota da Copa do Mundo (parcela por DIA, nao por jogo)</t>
  </si>
  <si>
    <t xml:space="preserve">Jogo de abertura da Copa</t>
  </si>
  <si>
    <t xml:space="preserve">11/06/2026</t>
  </si>
  <si>
    <t xml:space="preserve">Inicio estimado da janela de cessao (~10 dias antes)</t>
  </si>
  <si>
    <t xml:space="preserve">01/06/2026</t>
  </si>
  <si>
    <t xml:space="preserve">Ultima partida do Brasil (oitavas, derrota para a Noruega)</t>
  </si>
  <si>
    <t xml:space="preserve">05/07/2026</t>
  </si>
  <si>
    <t xml:space="preserve">Fim da contagem (dia seguinte a ultima partida)</t>
  </si>
  <si>
    <t xml:space="preserve">06/07/2026</t>
  </si>
  <si>
    <t xml:space="preserve">Dias de cessao estimados</t>
  </si>
  <si>
    <t xml:space="preserve">36</t>
  </si>
  <si>
    <t xml:space="preserve">Piso estimado (36 dias x USD 5.000)</t>
  </si>
  <si>
    <t xml:space="preserve">USD 180.000</t>
  </si>
  <si>
    <t xml:space="preserve">Estimativa preliminar. O valor final por dia so e fechado pela FIFA apos o torneio, com base no total de player-days de todos os clubes - pode ficar acima do piso.</t>
  </si>
  <si>
    <t xml:space="preserve">Calendario das janelas - Eliminatorias Sul-Americanas para a Copa 2026</t>
  </si>
  <si>
    <t xml:space="preserve">18 rodadas em 9 janelas. Cruzar com a data de registro/saida de cada atleta no TMS para definir a quem pertence cada partida.</t>
  </si>
  <si>
    <t xml:space="preserve">Rodadas</t>
  </si>
  <si>
    <t xml:space="preserve">Janela</t>
  </si>
  <si>
    <t xml:space="preserve">Periodo aproximado</t>
  </si>
  <si>
    <t xml:space="preserve">Atletas do Botafogo com convocacao conhecida</t>
  </si>
  <si>
    <t xml:space="preserve">1 e 2</t>
  </si>
  <si>
    <t xml:space="preserve">Setembro/2023</t>
  </si>
  <si>
    <t xml:space="preserve">07 a 12/09/2023</t>
  </si>
  <si>
    <t xml:space="preserve">Verificar elenco 2023</t>
  </si>
  <si>
    <t xml:space="preserve">3 e 4</t>
  </si>
  <si>
    <t xml:space="preserve">Outubro/2023</t>
  </si>
  <si>
    <t xml:space="preserve">12 a 17/10/2023</t>
  </si>
  <si>
    <t xml:space="preserve">5 e 6</t>
  </si>
  <si>
    <t xml:space="preserve">Novembro/2023</t>
  </si>
  <si>
    <t xml:space="preserve">16 a 21/11/2023</t>
  </si>
  <si>
    <t xml:space="preserve">Adryelson (BRA)</t>
  </si>
  <si>
    <t xml:space="preserve">7 e 8</t>
  </si>
  <si>
    <t xml:space="preserve">Setembro/2024</t>
  </si>
  <si>
    <t xml:space="preserve">05 a 10/09/2024</t>
  </si>
  <si>
    <t xml:space="preserve">Savarino, Luiz Henrique, Gatito, Bastos</t>
  </si>
  <si>
    <t xml:space="preserve">9 e 10</t>
  </si>
  <si>
    <t xml:space="preserve">Outubro/2024</t>
  </si>
  <si>
    <t xml:space="preserve">10 a 15/10/2024</t>
  </si>
  <si>
    <t xml:space="preserve">Igor Jesus, Luiz Henrique, Alex Telles, Almada, Savarino, Gatito, Bastos</t>
  </si>
  <si>
    <t xml:space="preserve">11 e 12</t>
  </si>
  <si>
    <t xml:space="preserve">Novembro/2024</t>
  </si>
  <si>
    <t xml:space="preserve">14 a 19/11/2024</t>
  </si>
  <si>
    <t xml:space="preserve">Igor Jesus, Luiz Henrique, Almada, Savarino, Gatito, Bastos</t>
  </si>
  <si>
    <t xml:space="preserve">13 e 14</t>
  </si>
  <si>
    <t xml:space="preserve">Marco/2025</t>
  </si>
  <si>
    <t xml:space="preserve">20 a 25/03/2025</t>
  </si>
  <si>
    <t xml:space="preserve">Luiz Henrique, Savarino</t>
  </si>
  <si>
    <t xml:space="preserve">15 e 16</t>
  </si>
  <si>
    <t xml:space="preserve">Junho/2025</t>
  </si>
  <si>
    <t xml:space="preserve">04 a 10/06/2025</t>
  </si>
  <si>
    <t xml:space="preserve">17 e 18</t>
  </si>
  <si>
    <t xml:space="preserve">Setembro/2025</t>
  </si>
  <si>
    <t xml:space="preserve">04 a 09/09/2025</t>
  </si>
  <si>
    <t xml:space="preserve">Savarino e demais - verificar</t>
  </si>
  <si>
    <t xml:space="preserve">ATENCAO: Bastos (Angola / CAF), Jacob Montes (Nicaragua / CONCACAF) e Cristhian Loor (Equador) seguem calendarios distintos. As janelas da CAF e da CONCACAF precisam ser levantadas a parte, direto no site da confederacao.</t>
  </si>
  <si>
    <t xml:space="preserve">Base de coleta - uma linha por jogador x partida</t>
  </si>
  <si>
    <t xml:space="preserve">LEGENDA: preencha apenas as celulas com fundo amarelo. A linha 5 e um exemplo - apague antes de usar. 'Relacionado' e o unico campo que define o direito ao pagamento.</t>
  </si>
  <si>
    <t xml:space="preserve">Confederacao</t>
  </si>
  <si>
    <t xml:space="preserve">Data da partida</t>
  </si>
  <si>
    <t xml:space="preserve">Adversario</t>
  </si>
  <si>
    <t xml:space="preserve">Rodada</t>
  </si>
  <si>
    <t xml:space="preserve">Relacionado (S/N)</t>
  </si>
  <si>
    <t xml:space="preserve">Status</t>
  </si>
  <si>
    <t xml:space="preserve">Minutos</t>
  </si>
  <si>
    <t xml:space="preserve">Clube detentor do registro na data</t>
  </si>
  <si>
    <t xml:space="preserve">Igor Jesus</t>
  </si>
  <si>
    <t xml:space="preserve">CONMEBOL</t>
  </si>
  <si>
    <t xml:space="preserve">10/10/2024</t>
  </si>
  <si>
    <t xml:space="preserve">Chile (fora)</t>
  </si>
  <si>
    <t xml:space="preserve">Rodada 9</t>
  </si>
  <si>
    <t xml:space="preserve">S</t>
  </si>
  <si>
    <t xml:space="preserve">Titular</t>
  </si>
  <si>
    <t xml:space="preserve">Botafogo SAF</t>
  </si>
  <si>
    <t xml:space="preserve">Elenco 2024</t>
  </si>
  <si>
    <t xml:space="preserve">Elenco do Botafogo na temporada 2024 - janelas de set, out e nov/2024 das Eliminatorias. Fonte: arquivo historico Fogo na Rede. Transfermarkt bloqueia acesso automatizado.</t>
  </si>
  <si>
    <t xml:space="preserve">Posicao</t>
  </si>
  <si>
    <t xml:space="preserve">Nacionalidade</t>
  </si>
  <si>
    <t xml:space="preserve">No clube desde</t>
  </si>
  <si>
    <t xml:space="preserve">Relevancia para o Club Benefits</t>
  </si>
  <si>
    <t xml:space="preserve">Goleiros</t>
  </si>
  <si>
    <t xml:space="preserve">Gatito Fernandez</t>
  </si>
  <si>
    <t xml:space="preserve">Selecao disputou Eliminatorias 2026 - checar convocacao</t>
  </si>
  <si>
    <t xml:space="preserve">John</t>
  </si>
  <si>
    <t xml:space="preserve">Lucas Barreto</t>
  </si>
  <si>
    <t xml:space="preserve">Raul</t>
  </si>
  <si>
    <t xml:space="preserve">Zagueiros</t>
  </si>
  <si>
    <t xml:space="preserve">Alexander Barboza</t>
  </si>
  <si>
    <t xml:space="preserve">Bastos</t>
  </si>
  <si>
    <t xml:space="preserve">Lucas Halter</t>
  </si>
  <si>
    <t xml:space="preserve">Luis Segovia</t>
  </si>
  <si>
    <t xml:space="preserve">Pablo</t>
  </si>
  <si>
    <t xml:space="preserve">Jefferson Maciel</t>
  </si>
  <si>
    <t xml:space="preserve">Laterais</t>
  </si>
  <si>
    <t xml:space="preserve">Damian Suarez</t>
  </si>
  <si>
    <t xml:space="preserve">Cuiabano</t>
  </si>
  <si>
    <t xml:space="preserve">Hugo</t>
  </si>
  <si>
    <t xml:space="preserve">Mateo Ponte</t>
  </si>
  <si>
    <t xml:space="preserve">Marcal</t>
  </si>
  <si>
    <t xml:space="preserve">Rafael</t>
  </si>
  <si>
    <t xml:space="preserve">Volantes</t>
  </si>
  <si>
    <t xml:space="preserve">Danilo Barbosa</t>
  </si>
  <si>
    <t xml:space="preserve">Gregore</t>
  </si>
  <si>
    <t xml:space="preserve">Marlon Freitas</t>
  </si>
  <si>
    <t xml:space="preserve">Patrick de Paula</t>
  </si>
  <si>
    <t xml:space="preserve">Tche Tche</t>
  </si>
  <si>
    <t xml:space="preserve">Allan</t>
  </si>
  <si>
    <t xml:space="preserve">Meias</t>
  </si>
  <si>
    <t xml:space="preserve">Diego Hernandez</t>
  </si>
  <si>
    <t xml:space="preserve">Eduardo</t>
  </si>
  <si>
    <t xml:space="preserve">Mohamed El Arouch</t>
  </si>
  <si>
    <t xml:space="preserve">Franca/Marrocos</t>
  </si>
  <si>
    <t xml:space="preserve">-</t>
  </si>
  <si>
    <t xml:space="preserve">Oscar Romero</t>
  </si>
  <si>
    <t xml:space="preserve">Thiago Almada</t>
  </si>
  <si>
    <t xml:space="preserve">Atacantes</t>
  </si>
  <si>
    <t xml:space="preserve">Luiz Henrique</t>
  </si>
  <si>
    <t xml:space="preserve">Junior Santos</t>
  </si>
  <si>
    <t xml:space="preserve">Jeffinho</t>
  </si>
  <si>
    <t xml:space="preserve">Matheus Nascimento</t>
  </si>
  <si>
    <t xml:space="preserve">Savarino</t>
  </si>
  <si>
    <t xml:space="preserve">Tiquinho Soares</t>
  </si>
  <si>
    <t xml:space="preserve">Yarlen</t>
  </si>
  <si>
    <t xml:space="preserve">Fabiano</t>
  </si>
  <si>
    <t xml:space="preserve">Carlos Alberto</t>
  </si>
  <si>
    <t xml:space="preserve">Matheus Martins</t>
  </si>
  <si>
    <t xml:space="preserve">Total de atletas: 38</t>
  </si>
  <si>
    <t xml:space="preserve">Elenco 2025</t>
  </si>
  <si>
    <t xml:space="preserve">Elenco do Botafogo na temporada 2025 (acumulado do ano, inclui chegadas de meio de temporada) - janelas de mar, jun e set/2025. Fonte: arquivo historico Fogo na Rede. Transfermarkt bloqueia acesso automatizado.</t>
  </si>
  <si>
    <t xml:space="preserve">Leo Linck</t>
  </si>
  <si>
    <t xml:space="preserve">Cristiano</t>
  </si>
  <si>
    <t xml:space="preserve">Cristhian Loor</t>
  </si>
  <si>
    <t xml:space="preserve">Neto</t>
  </si>
  <si>
    <t xml:space="preserve">Serafim</t>
  </si>
  <si>
    <t xml:space="preserve">Jair Cunha</t>
  </si>
  <si>
    <t xml:space="preserve">David Ricardo</t>
  </si>
  <si>
    <t xml:space="preserve">Kaio Pantaleao</t>
  </si>
  <si>
    <t xml:space="preserve">Gabriel Silva</t>
  </si>
  <si>
    <t xml:space="preserve">Vitinho (Victor Alexander da Silva)</t>
  </si>
  <si>
    <t xml:space="preserve">Alex Telles</t>
  </si>
  <si>
    <t xml:space="preserve">Kaue</t>
  </si>
  <si>
    <t xml:space="preserve">Newton</t>
  </si>
  <si>
    <t xml:space="preserve">Danilo (Danilo Santos)</t>
  </si>
  <si>
    <t xml:space="preserve">Kauan Lindes</t>
  </si>
  <si>
    <t xml:space="preserve">Santi Rodriguez</t>
  </si>
  <si>
    <t xml:space="preserve">Alvaro Montoro</t>
  </si>
  <si>
    <t xml:space="preserve">Huguinho</t>
  </si>
  <si>
    <t xml:space="preserve">Jordan Barrera</t>
  </si>
  <si>
    <t xml:space="preserve">Colombia</t>
  </si>
  <si>
    <t xml:space="preserve">Nathan Fernandes</t>
  </si>
  <si>
    <t xml:space="preserve">Rwan Cruz</t>
  </si>
  <si>
    <t xml:space="preserve">Kayke</t>
  </si>
  <si>
    <t xml:space="preserve">Rafael Lobato</t>
  </si>
  <si>
    <t xml:space="preserve">Elias Manoel</t>
  </si>
  <si>
    <t xml:space="preserve">Mastriani</t>
  </si>
  <si>
    <t xml:space="preserve">Artur</t>
  </si>
  <si>
    <t xml:space="preserve">Arthur Cabral</t>
  </si>
  <si>
    <t xml:space="preserve">Joaquin Correa</t>
  </si>
  <si>
    <t xml:space="preserve">Chris Ramos</t>
  </si>
  <si>
    <t xml:space="preserve">Espanha</t>
  </si>
  <si>
    <t xml:space="preserve">Total de atletas: 46</t>
  </si>
  <si>
    <t xml:space="preserve">Elencos de 2022 e 2023 - o que falta e onde buscar</t>
  </si>
  <si>
    <t xml:space="preserve">Transfermarkt</t>
  </si>
  <si>
    <t xml:space="preserve">Bloqueia acesso automatizado (robots.txt). Precisa ser copiado manualmente do navegador ou puxado por scraper proprio com navegador real.</t>
  </si>
  <si>
    <t xml:space="preserve">Fogo na Rede</t>
  </si>
  <si>
    <t xml:space="preserve">So mantem arquivo historico de 2024 e 2025. Nao ha paginas de 2022 e 2023.</t>
  </si>
  <si>
    <t xml:space="preserve">Relevancia real</t>
  </si>
  <si>
    <t xml:space="preserve">2022 NAO importa: as Eliminatorias da Copa 2026 comecaram em setembro de 2023. Somente o elenco do 2o semestre de 2023 em diante entra na conta.</t>
  </si>
  <si>
    <t xml:space="preserve">2023 - o que ja sabemos</t>
  </si>
  <si>
    <t xml:space="preserve">Estavam no elenco e sao relevantes: Gatito Fernandez (PAR), Lucas Perri (BRA), Adryelson (BRA), Bastos (ANG), Luis Segovia (EQU), Mateo Ponte (URU), Diego Hernandez (URU), Marcal, Rafael, Danilo Barbosa, Tche Tche, Marlon Freitas, Tiquinho Soares, Junior Santos, Carlos Alberto, Jefferson Maciel.</t>
  </si>
  <si>
    <t xml:space="preserve">Fonte definitiva</t>
  </si>
  <si>
    <t xml:space="preserve">O BID da CBF e o proprio TMS do clube. Como a FIFA montou a lista a partir do TMS, e o registro interno que vale como prova - nao o Transfermarkt.</t>
  </si>
  <si>
    <t xml:space="preserve">Checagem nome a nome - lista levantada pela area tecnica + verificacao em noticias</t>
  </si>
  <si>
    <t xml:space="preserve">REGRA DE OURO: o Club Benefits so paga por PARTIDA DE ELIMINATORIAS. Amistoso dentro de Data FIFA nao conta, mesmo que o jogador tenha sido cedido. Varios nomes desta lista caem exatamente por isso.</t>
  </si>
  <si>
    <t xml:space="preserve">Periodo no Botafogo</t>
  </si>
  <si>
    <t xml:space="preserve">Evidencia / verificacao</t>
  </si>
  <si>
    <t xml:space="preserve">VEREDITO</t>
  </si>
  <si>
    <t xml:space="preserve">2023 (saiu p/ Lyon no fim do ano)</t>
  </si>
  <si>
    <t xml:space="preserve">Convocado em set/2023 para substituir Bento nos jogos contra Bolivia (08/09) e Peru (12/09) - ELIMINATORIAS, e ainda no Botafogo. Os 6 jogos da lista fecham com as 3 janelas de 2023.</t>
  </si>
  <si>
    <t xml:space="preserve">ACEITAR os 6</t>
  </si>
  <si>
    <t xml:space="preserve">2024 a jul/2025</t>
  </si>
  <si>
    <t xml:space="preserve">8 jogos = out/24, nov/24, mar/25 e jun/25. Para em jul/2025 com a ida ao Zenit.</t>
  </si>
  <si>
    <t xml:space="preserve">ACEITAR os 8</t>
  </si>
  <si>
    <t xml:space="preserve">2023 (retorno por emprestimo em 2024)</t>
  </si>
  <si>
    <t xml:space="preserve">Convocado por Diniz em nov/2023. A janela teve 2 jogos.</t>
  </si>
  <si>
    <t xml:space="preserve">ACEITAR e checar se falta 1</t>
  </si>
  <si>
    <t xml:space="preserve">2024 a 2025</t>
  </si>
  <si>
    <t xml:space="preserve">Presenca constante na Vinotinto em todo o periodo.</t>
  </si>
  <si>
    <t xml:space="preserve">ACEITAR e checar faltas</t>
  </si>
  <si>
    <t xml:space="preserve">VITINHO (Victor Alexander)</t>
  </si>
  <si>
    <t xml:space="preserve">desde 2024 (segue no elenco)</t>
  </si>
  <si>
    <t xml:space="preserve">CONFIRMADO no Transfermarkt: relacionado nas duas Eliminatorias de set/2025 - Chile (04/09, suplente nao utilizado) e Bolivia (09/09, titular como LD, 61 min). Os amistosos contra Coreia (10/10) e Japao (14/10) aparecem em bloco separado e NAO contam.</t>
  </si>
  <si>
    <t xml:space="preserve">ACEITAR os 2</t>
  </si>
  <si>
    <t xml:space="preserve">abr/2024 a jan/2025</t>
  </si>
  <si>
    <t xml:space="preserve">A Argentina jogou apenas 6 Eliminatorias na janela dele. 9 e impossivel.</t>
  </si>
  <si>
    <t xml:space="preserve">nao localizado</t>
  </si>
  <si>
    <t xml:space="preserve">Nao aparece no elenco de 2024 nem no de 2025.</t>
  </si>
  <si>
    <t xml:space="preserve">REJEITAR / investigar vinculo</t>
  </si>
  <si>
    <t xml:space="preserve">2024 a ago/2025</t>
  </si>
  <si>
    <t xml:space="preserve">Convocado em set/2024 (Chile e Peru, marcou na estreia) e reconvocado em nov/2024 (Venezuela e Uruguai). Tudo Eliminatorias, tudo como jogador do Botafogo.</t>
  </si>
  <si>
    <t xml:space="preserve">CLAIM - alta prioridade</t>
  </si>
  <si>
    <t xml:space="preserve">desde 2024</t>
  </si>
  <si>
    <t xml:space="preserve">Consta entre os convocados do Brasileirao na Data FIFA de out/2024 pelo Botafogo.</t>
  </si>
  <si>
    <t xml:space="preserve">CLAIM - verificar sumulas</t>
  </si>
  <si>
    <t xml:space="preserve">ate o fim de 2024</t>
  </si>
  <si>
    <t xml:space="preserve">Convocado pelo Paraguai em out/2024 pelo Botafogo; titular nos 2 jogos da janela anterior.</t>
  </si>
  <si>
    <t xml:space="preserve">2023 a 2026</t>
  </si>
  <si>
    <t xml:space="preserve">Convocado por Angola em set e out/2024 pelo Botafogo. Eliminatorias da CAF, calendario proprio.</t>
  </si>
  <si>
    <t xml:space="preserve">CLAIM - levantar janelas CAF</t>
  </si>
  <si>
    <t xml:space="preserve">desde 2025</t>
  </si>
  <si>
    <t xml:space="preserve">Unico do Botafogo na Copa. Brasil eliminado nas oitavas em 05/07/2026.</t>
  </si>
  <si>
    <t xml:space="preserve">CLAIM - cota da fase final</t>
  </si>
  <si>
    <t xml:space="preserve">SANTI RODRIGUEZ</t>
  </si>
  <si>
    <t xml:space="preserve">Verificar convocacao do Uruguai na janela de set/2025.</t>
  </si>
  <si>
    <t xml:space="preserve">VERIFICAR</t>
  </si>
  <si>
    <t xml:space="preserve">CRISTHIAN LOOR</t>
  </si>
  <si>
    <t xml:space="preserve">Goleiro de 19 anos. Confirmar se a cessao ocorreu ja com registro nosso.</t>
  </si>
  <si>
    <t xml:space="preserve">VERIFICAR data</t>
  </si>
  <si>
    <t xml:space="preserve">LUIS SEGOVIA</t>
  </si>
  <si>
    <t xml:space="preserve">2023 a 2024</t>
  </si>
  <si>
    <t xml:space="preserve">Estava no elenco durante janelas de Eliminatorias do Equador. Convocacao ainda nao confirmada em noticia.</t>
  </si>
  <si>
    <t xml:space="preserve">VERIFICAR - pendente</t>
  </si>
  <si>
    <t xml:space="preserve">KADIR BARRIA</t>
  </si>
  <si>
    <t xml:space="preserve">Panama</t>
  </si>
  <si>
    <t xml:space="preserve">Jogou por Botafogo em 18/11 e 22/11/2025, ou seja, DENTRO da janela FIFA de novembro - logo nao estava com o Panama. Os jogos dele pelo Panama em 2026 aparecem como amistosos.</t>
  </si>
  <si>
    <t xml:space="preserve">SEM CLAIM (checar out/2025)</t>
  </si>
  <si>
    <t xml:space="preserve">JOHN</t>
  </si>
  <si>
    <t xml:space="preserve">Convocado em out/2025 na vaga de Ederson, mas ja como jogador do Nottingham Forest E para amistosos (Coreia e Japao). Dupla desqualificacao.</t>
  </si>
  <si>
    <t xml:space="preserve">SEM CLAIM</t>
  </si>
  <si>
    <t xml:space="preserve">NIKO HAMALAINEN</t>
  </si>
  <si>
    <t xml:space="preserve">Finlandia</t>
  </si>
  <si>
    <t xml:space="preserve">2022 (emprestimo do QPR ate julho)</t>
  </si>
  <si>
    <t xml:space="preserve">As Eliminatorias da Copa 2026 so comecaram em set/2023. Ele ja havia saido.</t>
  </si>
  <si>
    <t xml:space="preserve">NAHUEL FERRARESI</t>
  </si>
  <si>
    <t xml:space="preserve">desde 09/03/2026</t>
  </si>
  <si>
    <t xml:space="preserve">Chegou por emprestimo do Sao Paulo em marco de 2026, depois do fim das Eliminatorias. Todo o ciclo dele foi no Sao Paulo.</t>
  </si>
  <si>
    <t xml:space="preserve">LEGENDA: verde = reivindicar | vermelho = rejeitar | amarelo = pendente de verificacao | cinza = descartado com fundamento</t>
  </si>
</sst>
</file>

<file path=xl/styles.xml><?xml version="1.0" encoding="utf-8"?>
<styleSheet xmlns="http://schemas.openxmlformats.org/spreadsheetml/2006/main">
  <numFmts count="3">
    <numFmt numFmtId="164" formatCode="General"/>
    <numFmt numFmtId="165" formatCode="General"/>
    <numFmt numFmtId="166" formatCode="&quot;USD &quot;#,##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name val="Arial"/>
      <family val="0"/>
      <charset val="1"/>
    </font>
    <font>
      <i val="true"/>
      <sz val="9"/>
      <name val="Arial"/>
      <family val="0"/>
      <charset val="1"/>
    </font>
    <font>
      <i val="true"/>
      <sz val="10"/>
      <color rgb="FF80808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CE4E4"/>
      </patternFill>
    </fill>
    <fill>
      <patternFill patternType="solid">
        <fgColor rgb="FFFCE4E4"/>
        <bgColor rgb="FFF2F2F2"/>
      </patternFill>
    </fill>
    <fill>
      <patternFill patternType="solid">
        <fgColor rgb="FFE2EFDA"/>
        <bgColor rgb="FFF2F2F2"/>
      </patternFill>
    </fill>
    <fill>
      <patternFill patternType="solid">
        <fgColor rgb="FFF2F2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5" fontId="8"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general" vertical="bottom" textRotation="0" wrapText="false" indent="0" shrinkToFit="false"/>
      <protection locked="true" hidden="false"/>
    </xf>
    <xf numFmtId="165" fontId="8" fillId="6" borderId="1" xfId="0" applyFont="true" applyBorder="true" applyAlignment="true" applyProtection="false">
      <alignment horizontal="center"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tru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6" fontId="8" fillId="3"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62"/>
    <col collapsed="false" customWidth="true" hidden="false" outlineLevel="0" max="3" min="3" style="1" width="4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30" hidden="false" customHeight="true" outlineLevel="0" collapsed="false">
      <c r="A5" s="5" t="s">
        <v>3</v>
      </c>
      <c r="B5" s="5" t="s">
        <v>4</v>
      </c>
      <c r="C5" s="5" t="s">
        <v>5</v>
      </c>
    </row>
    <row r="6" customFormat="false" ht="45.75" hidden="false" customHeight="true" outlineLevel="0" collapsed="false">
      <c r="A6" s="6" t="s">
        <v>6</v>
      </c>
      <c r="B6" s="7" t="s">
        <v>7</v>
      </c>
      <c r="C6" s="7" t="s">
        <v>8</v>
      </c>
    </row>
    <row r="7" customFormat="false" ht="45.75" hidden="false" customHeight="true" outlineLevel="0" collapsed="false">
      <c r="A7" s="6" t="s">
        <v>9</v>
      </c>
      <c r="B7" s="7" t="s">
        <v>10</v>
      </c>
      <c r="C7" s="7" t="s">
        <v>8</v>
      </c>
    </row>
    <row r="8" customFormat="false" ht="45.75" hidden="false" customHeight="true" outlineLevel="0" collapsed="false">
      <c r="A8" s="6" t="s">
        <v>11</v>
      </c>
      <c r="B8" s="7" t="s">
        <v>12</v>
      </c>
      <c r="C8" s="7" t="s">
        <v>13</v>
      </c>
    </row>
    <row r="9" customFormat="false" ht="45.75" hidden="false" customHeight="true" outlineLevel="0" collapsed="false">
      <c r="A9" s="6" t="s">
        <v>14</v>
      </c>
      <c r="B9" s="7" t="s">
        <v>15</v>
      </c>
      <c r="C9" s="7" t="s">
        <v>8</v>
      </c>
    </row>
    <row r="10" customFormat="false" ht="45.75" hidden="false" customHeight="true" outlineLevel="0" collapsed="false">
      <c r="A10" s="6" t="s">
        <v>16</v>
      </c>
      <c r="B10" s="7" t="s">
        <v>17</v>
      </c>
      <c r="C10" s="7" t="s">
        <v>18</v>
      </c>
    </row>
    <row r="11" customFormat="false" ht="45.75" hidden="false" customHeight="true" outlineLevel="0" collapsed="false">
      <c r="A11" s="6" t="s">
        <v>19</v>
      </c>
      <c r="B11" s="7" t="s">
        <v>20</v>
      </c>
      <c r="C11" s="7" t="s">
        <v>18</v>
      </c>
    </row>
    <row r="12" customFormat="false" ht="45.75" hidden="false" customHeight="true" outlineLevel="0" collapsed="false">
      <c r="A12" s="6" t="s">
        <v>21</v>
      </c>
      <c r="B12" s="7" t="s">
        <v>22</v>
      </c>
      <c r="C12" s="7" t="s">
        <v>8</v>
      </c>
    </row>
    <row r="14" customFormat="false" ht="15" hidden="false" customHeight="true" outlineLevel="0" collapsed="false">
      <c r="A14" s="4" t="s">
        <v>23</v>
      </c>
    </row>
    <row r="15" customFormat="false" ht="30" hidden="false" customHeight="true" outlineLevel="0" collapsed="false">
      <c r="A15" s="8" t="s">
        <v>24</v>
      </c>
      <c r="B15" s="8"/>
      <c r="C15" s="8"/>
    </row>
    <row r="16" customFormat="false" ht="30" hidden="false" customHeight="true" outlineLevel="0" collapsed="false">
      <c r="A16" s="8" t="s">
        <v>25</v>
      </c>
      <c r="B16" s="8"/>
      <c r="C16" s="8"/>
    </row>
    <row r="17" customFormat="false" ht="30" hidden="false" customHeight="true" outlineLevel="0" collapsed="false">
      <c r="A17" s="8" t="s">
        <v>26</v>
      </c>
      <c r="B17" s="8"/>
      <c r="C17" s="8"/>
    </row>
    <row r="18" customFormat="false" ht="30" hidden="false" customHeight="true" outlineLevel="0" collapsed="false">
      <c r="A18" s="8" t="s">
        <v>27</v>
      </c>
      <c r="B18" s="8"/>
      <c r="C18" s="8"/>
    </row>
    <row r="20" customFormat="false" ht="15" hidden="false" customHeight="true" outlineLevel="0" collapsed="false">
      <c r="A20" s="4" t="s">
        <v>28</v>
      </c>
    </row>
    <row r="21" customFormat="false" ht="30" hidden="false" customHeight="true" outlineLevel="0" collapsed="false">
      <c r="A21" s="5" t="s">
        <v>29</v>
      </c>
      <c r="B21" s="5" t="s">
        <v>30</v>
      </c>
      <c r="C21" s="5" t="s">
        <v>31</v>
      </c>
    </row>
    <row r="22" customFormat="false" ht="31.5" hidden="false" customHeight="true" outlineLevel="0" collapsed="false">
      <c r="A22" s="9" t="s">
        <v>32</v>
      </c>
      <c r="B22" s="10" t="s">
        <v>33</v>
      </c>
      <c r="C22" s="10" t="s">
        <v>34</v>
      </c>
    </row>
    <row r="23" customFormat="false" ht="31.5" hidden="false" customHeight="true" outlineLevel="0" collapsed="false">
      <c r="A23" s="9" t="s">
        <v>35</v>
      </c>
      <c r="B23" s="10" t="s">
        <v>36</v>
      </c>
      <c r="C23" s="10" t="s">
        <v>37</v>
      </c>
    </row>
    <row r="24" customFormat="false" ht="31.5" hidden="false" customHeight="true" outlineLevel="0" collapsed="false">
      <c r="A24" s="9" t="s">
        <v>38</v>
      </c>
      <c r="B24" s="10" t="s">
        <v>39</v>
      </c>
      <c r="C24" s="10" t="s">
        <v>40</v>
      </c>
    </row>
    <row r="26" customFormat="false" ht="15" hidden="false" customHeight="true" outlineLevel="0" collapsed="false">
      <c r="A26" s="4" t="s">
        <v>41</v>
      </c>
    </row>
    <row r="27" customFormat="false" ht="27.75" hidden="false" customHeight="true" outlineLevel="0" collapsed="false">
      <c r="A27" s="8" t="s">
        <v>42</v>
      </c>
      <c r="B27" s="8"/>
      <c r="C27" s="8"/>
    </row>
    <row r="28" customFormat="false" ht="27.75" hidden="false" customHeight="true" outlineLevel="0" collapsed="false">
      <c r="A28" s="8" t="s">
        <v>43</v>
      </c>
      <c r="B28" s="8"/>
      <c r="C28" s="8"/>
    </row>
    <row r="29" customFormat="false" ht="27.75" hidden="false" customHeight="true" outlineLevel="0" collapsed="false">
      <c r="A29" s="8" t="s">
        <v>44</v>
      </c>
      <c r="B29" s="8"/>
      <c r="C29" s="8"/>
    </row>
    <row r="30" customFormat="false" ht="27.75" hidden="false" customHeight="true" outlineLevel="0" collapsed="false">
      <c r="A30" s="8" t="s">
        <v>45</v>
      </c>
      <c r="B30" s="8"/>
      <c r="C30" s="8"/>
    </row>
  </sheetData>
  <mergeCells count="8">
    <mergeCell ref="A15:C15"/>
    <mergeCell ref="A16:C16"/>
    <mergeCell ref="A17:C17"/>
    <mergeCell ref="A18:C18"/>
    <mergeCell ref="A27:C27"/>
    <mergeCell ref="A28:C28"/>
    <mergeCell ref="A29:C29"/>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13"/>
    <col collapsed="false" customWidth="true" hidden="false" outlineLevel="0" max="4" min="4" style="1" width="14"/>
    <col collapsed="false" customWidth="true" hidden="false" outlineLevel="0" max="5" min="5" style="1" width="15"/>
    <col collapsed="false" customWidth="true" hidden="false" outlineLevel="0" max="6" min="6" style="1" width="12"/>
    <col collapsed="false" customWidth="true" hidden="false" outlineLevel="0" max="7" min="7" style="1" width="26"/>
    <col collapsed="false" customWidth="true" hidden="false" outlineLevel="0" max="8" min="8" style="1" width="44"/>
    <col collapsed="false" customWidth="true" hidden="false" outlineLevel="0" max="9" min="9" style="1" width="24"/>
  </cols>
  <sheetData>
    <row r="1" customFormat="false" ht="17.25" hidden="false" customHeight="true" outlineLevel="0" collapsed="false">
      <c r="A1" s="2" t="s">
        <v>46</v>
      </c>
    </row>
    <row r="2" customFormat="false" ht="27.75" hidden="false" customHeight="true" outlineLevel="0" collapsed="false">
      <c r="A2" s="11" t="s">
        <v>47</v>
      </c>
    </row>
    <row r="4" customFormat="false" ht="42" hidden="false" customHeight="true" outlineLevel="0" collapsed="false">
      <c r="A4" s="5" t="s">
        <v>48</v>
      </c>
      <c r="B4" s="5" t="s">
        <v>49</v>
      </c>
      <c r="C4" s="5" t="s">
        <v>50</v>
      </c>
      <c r="D4" s="5" t="s">
        <v>51</v>
      </c>
      <c r="E4" s="5" t="s">
        <v>52</v>
      </c>
      <c r="F4" s="5" t="s">
        <v>53</v>
      </c>
      <c r="G4" s="5" t="s">
        <v>54</v>
      </c>
      <c r="H4" s="5" t="s">
        <v>55</v>
      </c>
      <c r="I4" s="5" t="s">
        <v>29</v>
      </c>
    </row>
    <row r="5" customFormat="false" ht="61.5" hidden="false" customHeight="true" outlineLevel="0" collapsed="false">
      <c r="A5" s="12" t="n">
        <v>1</v>
      </c>
      <c r="B5" s="13" t="s">
        <v>56</v>
      </c>
      <c r="C5" s="12" t="s">
        <v>57</v>
      </c>
      <c r="D5" s="14" t="n">
        <v>9</v>
      </c>
      <c r="E5" s="14" t="n">
        <v>6</v>
      </c>
      <c r="F5" s="15" t="n">
        <f aca="false">IF(E5="","",D5-E5)</f>
        <v>3</v>
      </c>
      <c r="G5" s="12" t="s">
        <v>58</v>
      </c>
      <c r="H5" s="12" t="s">
        <v>59</v>
      </c>
      <c r="I5" s="12" t="s">
        <v>60</v>
      </c>
    </row>
    <row r="6" customFormat="false" ht="61.5" hidden="false" customHeight="true" outlineLevel="0" collapsed="false">
      <c r="A6" s="16" t="n">
        <v>2</v>
      </c>
      <c r="B6" s="17" t="s">
        <v>61</v>
      </c>
      <c r="C6" s="16" t="s">
        <v>62</v>
      </c>
      <c r="D6" s="18" t="n">
        <v>2</v>
      </c>
      <c r="E6" s="18" t="n">
        <v>2</v>
      </c>
      <c r="F6" s="19" t="n">
        <f aca="false">IF(E6="","",D6-E6)</f>
        <v>0</v>
      </c>
      <c r="G6" s="16" t="s">
        <v>63</v>
      </c>
      <c r="H6" s="16" t="s">
        <v>64</v>
      </c>
      <c r="I6" s="16" t="s">
        <v>65</v>
      </c>
    </row>
    <row r="7" customFormat="false" ht="61.5" hidden="false" customHeight="true" outlineLevel="0" collapsed="false">
      <c r="A7" s="7" t="n">
        <v>3</v>
      </c>
      <c r="B7" s="6" t="s">
        <v>66</v>
      </c>
      <c r="C7" s="7" t="s">
        <v>62</v>
      </c>
      <c r="D7" s="20" t="n">
        <v>6</v>
      </c>
      <c r="E7" s="20" t="n">
        <v>6</v>
      </c>
      <c r="F7" s="21" t="n">
        <f aca="false">IF(E7="","",D7-E7)</f>
        <v>0</v>
      </c>
      <c r="G7" s="7" t="s">
        <v>67</v>
      </c>
      <c r="H7" s="7" t="s">
        <v>68</v>
      </c>
      <c r="I7" s="7" t="s">
        <v>69</v>
      </c>
    </row>
    <row r="8" customFormat="false" ht="61.5" hidden="false" customHeight="true" outlineLevel="0" collapsed="false">
      <c r="A8" s="7" t="n">
        <v>4</v>
      </c>
      <c r="B8" s="6" t="s">
        <v>70</v>
      </c>
      <c r="C8" s="7" t="s">
        <v>62</v>
      </c>
      <c r="D8" s="20" t="n">
        <v>1</v>
      </c>
      <c r="E8" s="20" t="n">
        <v>2</v>
      </c>
      <c r="F8" s="21" t="n">
        <f aca="false">IF(E8="","",D8-E8)</f>
        <v>-1</v>
      </c>
      <c r="G8" s="7" t="s">
        <v>71</v>
      </c>
      <c r="H8" s="7" t="s">
        <v>72</v>
      </c>
      <c r="I8" s="7" t="s">
        <v>73</v>
      </c>
    </row>
    <row r="9" customFormat="false" ht="61.5" hidden="false" customHeight="true" outlineLevel="0" collapsed="false">
      <c r="A9" s="7" t="n">
        <v>5</v>
      </c>
      <c r="B9" s="6" t="s">
        <v>74</v>
      </c>
      <c r="C9" s="7" t="s">
        <v>75</v>
      </c>
      <c r="D9" s="20" t="n">
        <v>1</v>
      </c>
      <c r="E9" s="20"/>
      <c r="F9" s="20"/>
      <c r="G9" s="7" t="s">
        <v>76</v>
      </c>
      <c r="H9" s="7" t="s">
        <v>77</v>
      </c>
      <c r="I9" s="7" t="s">
        <v>78</v>
      </c>
    </row>
    <row r="10" customFormat="false" ht="61.5" hidden="false" customHeight="true" outlineLevel="0" collapsed="false">
      <c r="A10" s="7" t="n">
        <v>6</v>
      </c>
      <c r="B10" s="6" t="s">
        <v>79</v>
      </c>
      <c r="C10" s="7" t="s">
        <v>80</v>
      </c>
      <c r="D10" s="20" t="n">
        <v>2</v>
      </c>
      <c r="E10" s="20"/>
      <c r="F10" s="20"/>
      <c r="G10" s="7" t="s">
        <v>81</v>
      </c>
      <c r="H10" s="7" t="s">
        <v>82</v>
      </c>
      <c r="I10" s="7" t="s">
        <v>78</v>
      </c>
    </row>
    <row r="11" customFormat="false" ht="61.5" hidden="false" customHeight="true" outlineLevel="0" collapsed="false">
      <c r="A11" s="16" t="n">
        <v>7</v>
      </c>
      <c r="B11" s="17" t="s">
        <v>83</v>
      </c>
      <c r="C11" s="16" t="s">
        <v>62</v>
      </c>
      <c r="D11" s="18" t="n">
        <v>8</v>
      </c>
      <c r="E11" s="18" t="n">
        <v>8</v>
      </c>
      <c r="F11" s="19" t="n">
        <f aca="false">IF(E11="","",D11-E11)</f>
        <v>0</v>
      </c>
      <c r="G11" s="16" t="s">
        <v>84</v>
      </c>
      <c r="H11" s="16" t="s">
        <v>85</v>
      </c>
      <c r="I11" s="16" t="s">
        <v>65</v>
      </c>
    </row>
    <row r="12" customFormat="false" ht="61.5" hidden="false" customHeight="true" outlineLevel="0" collapsed="false">
      <c r="A12" s="7" t="n">
        <v>8</v>
      </c>
      <c r="B12" s="6" t="s">
        <v>86</v>
      </c>
      <c r="C12" s="7" t="s">
        <v>87</v>
      </c>
      <c r="D12" s="20" t="n">
        <v>10</v>
      </c>
      <c r="E12" s="20"/>
      <c r="F12" s="20"/>
      <c r="G12" s="7" t="s">
        <v>88</v>
      </c>
      <c r="H12" s="7" t="s">
        <v>89</v>
      </c>
      <c r="I12" s="7" t="s">
        <v>90</v>
      </c>
    </row>
    <row r="13" customFormat="false" ht="30" hidden="false" customHeight="true" outlineLevel="0" collapsed="false">
      <c r="C13" s="22" t="s">
        <v>91</v>
      </c>
      <c r="D13" s="23" t="n">
        <f aca="false">SUM(D5:D12)</f>
        <v>39</v>
      </c>
      <c r="E13" s="24"/>
      <c r="F13" s="25"/>
      <c r="G13" s="24" t="n">
        <f aca="false">D13*2360</f>
        <v>92040</v>
      </c>
      <c r="H13" s="26" t="s">
        <v>92</v>
      </c>
      <c r="I13" s="27"/>
    </row>
    <row r="14" customFormat="false" ht="15" hidden="false" customHeight="true" outlineLevel="0" collapsed="false"/>
    <row r="15" customFormat="false" ht="30" hidden="false" customHeight="true" outlineLevel="0" collapsed="false">
      <c r="A15" s="28" t="s">
        <v>93</v>
      </c>
      <c r="B15" s="28"/>
      <c r="C15" s="28"/>
      <c r="D15" s="28"/>
      <c r="E15" s="28"/>
      <c r="F15" s="28"/>
      <c r="G15" s="28"/>
      <c r="H15" s="28"/>
      <c r="I15" s="28"/>
    </row>
    <row r="16" customFormat="false" ht="30" hidden="false" customHeight="true" outlineLevel="0" collapsed="false">
      <c r="A16" s="28" t="s">
        <v>94</v>
      </c>
      <c r="B16" s="28"/>
      <c r="C16" s="28"/>
      <c r="D16" s="28"/>
      <c r="E16" s="28"/>
      <c r="F16" s="28"/>
      <c r="G16" s="28"/>
      <c r="H16" s="28"/>
      <c r="I16" s="28"/>
    </row>
    <row r="17" customFormat="false" ht="30" hidden="false" customHeight="true" outlineLevel="0" collapsed="false">
      <c r="A17" s="28" t="s">
        <v>95</v>
      </c>
      <c r="B17" s="28"/>
      <c r="C17" s="28"/>
      <c r="D17" s="28"/>
      <c r="E17" s="28"/>
      <c r="F17" s="28"/>
      <c r="G17" s="28"/>
      <c r="H17" s="28"/>
      <c r="I17" s="28"/>
    </row>
    <row r="18" customFormat="false" ht="15" hidden="false" customHeight="true" outlineLevel="0" collapsed="false"/>
    <row r="19" customFormat="false" ht="15" hidden="false" customHeight="true" outlineLevel="0" collapsed="false"/>
    <row r="20" customFormat="false" ht="15" hidden="false" customHeight="true" outlineLevel="0" collapsed="false"/>
  </sheetData>
  <mergeCells count="3">
    <mergeCell ref="A15:I15"/>
    <mergeCell ref="A16:I16"/>
    <mergeCell ref="A17:I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4"/>
    <col collapsed="false" customWidth="true" hidden="false" outlineLevel="0" max="3" min="3" style="1" width="16"/>
    <col collapsed="false" customWidth="true" hidden="false" outlineLevel="0" max="4" min="4" style="1" width="26"/>
    <col collapsed="false" customWidth="true" hidden="false" outlineLevel="0" max="5" min="5" style="1" width="40"/>
    <col collapsed="false" customWidth="true" hidden="false" outlineLevel="0" max="6" min="6" style="1" width="18"/>
    <col collapsed="false" customWidth="true" hidden="false" outlineLevel="0" max="7" min="7" style="1" width="20"/>
  </cols>
  <sheetData>
    <row r="1" customFormat="false" ht="17.25" hidden="false" customHeight="true" outlineLevel="0" collapsed="false">
      <c r="A1" s="2" t="s">
        <v>96</v>
      </c>
    </row>
    <row r="2" customFormat="false" ht="15" hidden="false" customHeight="true" outlineLevel="0" collapsed="false">
      <c r="A2" s="3" t="s">
        <v>97</v>
      </c>
    </row>
    <row r="4" customFormat="false" ht="30" hidden="false" customHeight="true" outlineLevel="0" collapsed="false">
      <c r="A4" s="5" t="s">
        <v>48</v>
      </c>
      <c r="B4" s="5" t="s">
        <v>49</v>
      </c>
      <c r="C4" s="5" t="s">
        <v>50</v>
      </c>
      <c r="D4" s="5" t="s">
        <v>98</v>
      </c>
      <c r="E4" s="5" t="s">
        <v>99</v>
      </c>
      <c r="F4" s="5" t="s">
        <v>100</v>
      </c>
      <c r="G4" s="5" t="s">
        <v>101</v>
      </c>
    </row>
    <row r="5" customFormat="false" ht="49.5" hidden="false" customHeight="true" outlineLevel="0" collapsed="false">
      <c r="A5" s="16" t="n">
        <v>1</v>
      </c>
      <c r="B5" s="16" t="s">
        <v>102</v>
      </c>
      <c r="C5" s="16" t="s">
        <v>62</v>
      </c>
      <c r="D5" s="16" t="s">
        <v>103</v>
      </c>
      <c r="E5" s="16" t="s">
        <v>104</v>
      </c>
      <c r="F5" s="29" t="n">
        <v>4</v>
      </c>
      <c r="G5" s="16" t="s">
        <v>105</v>
      </c>
    </row>
    <row r="6" customFormat="false" ht="49.5" hidden="false" customHeight="true" outlineLevel="0" collapsed="false">
      <c r="A6" s="16" t="n">
        <v>2</v>
      </c>
      <c r="B6" s="16" t="s">
        <v>106</v>
      </c>
      <c r="C6" s="16" t="s">
        <v>62</v>
      </c>
      <c r="D6" s="16" t="s">
        <v>107</v>
      </c>
      <c r="E6" s="16" t="s">
        <v>108</v>
      </c>
      <c r="F6" s="29" t="n">
        <v>2</v>
      </c>
      <c r="G6" s="16" t="s">
        <v>105</v>
      </c>
    </row>
    <row r="7" customFormat="false" ht="49.5" hidden="false" customHeight="true" outlineLevel="0" collapsed="false">
      <c r="A7" s="16" t="n">
        <v>3</v>
      </c>
      <c r="B7" s="16" t="s">
        <v>109</v>
      </c>
      <c r="C7" s="16" t="s">
        <v>110</v>
      </c>
      <c r="D7" s="16" t="s">
        <v>111</v>
      </c>
      <c r="E7" s="16" t="s">
        <v>112</v>
      </c>
      <c r="F7" s="29" t="n">
        <v>4</v>
      </c>
      <c r="G7" s="16" t="s">
        <v>105</v>
      </c>
    </row>
    <row r="8" customFormat="false" ht="49.5" hidden="false" customHeight="true" outlineLevel="0" collapsed="false">
      <c r="A8" s="16" t="n">
        <v>4</v>
      </c>
      <c r="B8" s="16" t="s">
        <v>113</v>
      </c>
      <c r="C8" s="16" t="s">
        <v>114</v>
      </c>
      <c r="D8" s="16" t="s">
        <v>115</v>
      </c>
      <c r="E8" s="16" t="s">
        <v>116</v>
      </c>
      <c r="F8" s="29" t="n">
        <v>4</v>
      </c>
      <c r="G8" s="16" t="s">
        <v>105</v>
      </c>
    </row>
    <row r="9" customFormat="false" ht="49.5" hidden="false" customHeight="true" outlineLevel="0" collapsed="false">
      <c r="A9" s="16" t="n">
        <v>5</v>
      </c>
      <c r="B9" s="16" t="s">
        <v>117</v>
      </c>
      <c r="C9" s="16" t="s">
        <v>62</v>
      </c>
      <c r="D9" s="16" t="s">
        <v>118</v>
      </c>
      <c r="E9" s="16" t="s">
        <v>119</v>
      </c>
      <c r="F9" s="29" t="n">
        <v>0</v>
      </c>
      <c r="G9" s="16" t="s">
        <v>120</v>
      </c>
    </row>
    <row r="10" customFormat="false" ht="49.5" hidden="false" customHeight="true" outlineLevel="0" collapsed="false">
      <c r="A10" s="16" t="n">
        <v>6</v>
      </c>
      <c r="B10" s="16" t="s">
        <v>121</v>
      </c>
      <c r="C10" s="16" t="s">
        <v>122</v>
      </c>
      <c r="D10" s="16" t="s">
        <v>123</v>
      </c>
      <c r="E10" s="16" t="s">
        <v>124</v>
      </c>
      <c r="F10" s="29" t="n">
        <v>0</v>
      </c>
      <c r="G10" s="16" t="s">
        <v>125</v>
      </c>
    </row>
    <row r="12" customFormat="false" ht="15" hidden="false" customHeight="true" outlineLevel="0" collapsed="false">
      <c r="A12" s="30" t="s">
        <v>126</v>
      </c>
      <c r="B12" s="30"/>
      <c r="C12" s="30"/>
      <c r="D12" s="30"/>
      <c r="E12" s="30"/>
      <c r="F12" s="31" t="n">
        <f aca="false">SUM(F5:F10)*2360</f>
        <v>33040</v>
      </c>
    </row>
    <row r="14" customFormat="false" ht="15" hidden="false" customHeight="true" outlineLevel="0" collapsed="false">
      <c r="A14" s="4" t="s">
        <v>127</v>
      </c>
    </row>
    <row r="15" customFormat="false" ht="15" hidden="false" customHeight="true" outlineLevel="0" collapsed="false">
      <c r="A15" s="32" t="s">
        <v>128</v>
      </c>
      <c r="D15" s="33" t="s">
        <v>129</v>
      </c>
    </row>
    <row r="16" customFormat="false" ht="15" hidden="false" customHeight="true" outlineLevel="0" collapsed="false">
      <c r="A16" s="32" t="s">
        <v>130</v>
      </c>
      <c r="D16" s="33" t="s">
        <v>131</v>
      </c>
    </row>
    <row r="17" customFormat="false" ht="15" hidden="false" customHeight="true" outlineLevel="0" collapsed="false">
      <c r="A17" s="32" t="s">
        <v>132</v>
      </c>
      <c r="D17" s="33" t="s">
        <v>133</v>
      </c>
    </row>
    <row r="18" customFormat="false" ht="15" hidden="false" customHeight="true" outlineLevel="0" collapsed="false">
      <c r="A18" s="32" t="s">
        <v>134</v>
      </c>
      <c r="D18" s="33" t="s">
        <v>135</v>
      </c>
    </row>
    <row r="19" customFormat="false" ht="15" hidden="false" customHeight="true" outlineLevel="0" collapsed="false">
      <c r="A19" s="32" t="s">
        <v>136</v>
      </c>
      <c r="D19" s="33" t="s">
        <v>137</v>
      </c>
    </row>
    <row r="20" customFormat="false" ht="15" hidden="false" customHeight="true" outlineLevel="0" collapsed="false">
      <c r="A20" s="32" t="s">
        <v>138</v>
      </c>
      <c r="D20" s="33" t="s">
        <v>139</v>
      </c>
    </row>
    <row r="21" customFormat="false" ht="15" hidden="false" customHeight="true" outlineLevel="0" collapsed="false">
      <c r="A21" s="34" t="s">
        <v>140</v>
      </c>
    </row>
  </sheetData>
  <mergeCells count="1">
    <mergeCell ref="A12: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2"/>
    <col collapsed="false" customWidth="true" hidden="false" outlineLevel="0" max="3" min="3" style="1" width="26"/>
    <col collapsed="false" customWidth="true" hidden="false" outlineLevel="0" max="4" min="4" style="1" width="46"/>
  </cols>
  <sheetData>
    <row r="1" customFormat="false" ht="17.25" hidden="false" customHeight="true" outlineLevel="0" collapsed="false">
      <c r="A1" s="2" t="s">
        <v>141</v>
      </c>
    </row>
    <row r="2" customFormat="false" ht="15" hidden="false" customHeight="true" outlineLevel="0" collapsed="false">
      <c r="A2" s="3" t="s">
        <v>142</v>
      </c>
    </row>
    <row r="4" customFormat="false" ht="30" hidden="false" customHeight="true" outlineLevel="0" collapsed="false">
      <c r="A4" s="5" t="s">
        <v>143</v>
      </c>
      <c r="B4" s="5" t="s">
        <v>144</v>
      </c>
      <c r="C4" s="5" t="s">
        <v>145</v>
      </c>
      <c r="D4" s="5" t="s">
        <v>146</v>
      </c>
    </row>
    <row r="5" customFormat="false" ht="30" hidden="false" customHeight="true" outlineLevel="0" collapsed="false">
      <c r="A5" s="7" t="s">
        <v>147</v>
      </c>
      <c r="B5" s="7" t="s">
        <v>148</v>
      </c>
      <c r="C5" s="7" t="s">
        <v>149</v>
      </c>
      <c r="D5" s="7" t="s">
        <v>150</v>
      </c>
    </row>
    <row r="6" customFormat="false" ht="30" hidden="false" customHeight="true" outlineLevel="0" collapsed="false">
      <c r="A6" s="7" t="s">
        <v>151</v>
      </c>
      <c r="B6" s="7" t="s">
        <v>152</v>
      </c>
      <c r="C6" s="7" t="s">
        <v>153</v>
      </c>
      <c r="D6" s="7" t="s">
        <v>150</v>
      </c>
    </row>
    <row r="7" customFormat="false" ht="30" hidden="false" customHeight="true" outlineLevel="0" collapsed="false">
      <c r="A7" s="7" t="s">
        <v>154</v>
      </c>
      <c r="B7" s="7" t="s">
        <v>155</v>
      </c>
      <c r="C7" s="7" t="s">
        <v>156</v>
      </c>
      <c r="D7" s="7" t="s">
        <v>157</v>
      </c>
    </row>
    <row r="8" customFormat="false" ht="30" hidden="false" customHeight="true" outlineLevel="0" collapsed="false">
      <c r="A8" s="7" t="s">
        <v>158</v>
      </c>
      <c r="B8" s="7" t="s">
        <v>159</v>
      </c>
      <c r="C8" s="7" t="s">
        <v>160</v>
      </c>
      <c r="D8" s="7" t="s">
        <v>161</v>
      </c>
    </row>
    <row r="9" customFormat="false" ht="30" hidden="false" customHeight="true" outlineLevel="0" collapsed="false">
      <c r="A9" s="7" t="s">
        <v>162</v>
      </c>
      <c r="B9" s="7" t="s">
        <v>163</v>
      </c>
      <c r="C9" s="7" t="s">
        <v>164</v>
      </c>
      <c r="D9" s="7" t="s">
        <v>165</v>
      </c>
    </row>
    <row r="10" customFormat="false" ht="30" hidden="false" customHeight="true" outlineLevel="0" collapsed="false">
      <c r="A10" s="7" t="s">
        <v>166</v>
      </c>
      <c r="B10" s="7" t="s">
        <v>167</v>
      </c>
      <c r="C10" s="7" t="s">
        <v>168</v>
      </c>
      <c r="D10" s="7" t="s">
        <v>169</v>
      </c>
    </row>
    <row r="11" customFormat="false" ht="30" hidden="false" customHeight="true" outlineLevel="0" collapsed="false">
      <c r="A11" s="7" t="s">
        <v>170</v>
      </c>
      <c r="B11" s="7" t="s">
        <v>171</v>
      </c>
      <c r="C11" s="7" t="s">
        <v>172</v>
      </c>
      <c r="D11" s="7" t="s">
        <v>173</v>
      </c>
    </row>
    <row r="12" customFormat="false" ht="30" hidden="false" customHeight="true" outlineLevel="0" collapsed="false">
      <c r="A12" s="7" t="s">
        <v>174</v>
      </c>
      <c r="B12" s="7" t="s">
        <v>175</v>
      </c>
      <c r="C12" s="7" t="s">
        <v>176</v>
      </c>
      <c r="D12" s="7" t="s">
        <v>173</v>
      </c>
    </row>
    <row r="13" customFormat="false" ht="30" hidden="false" customHeight="true" outlineLevel="0" collapsed="false">
      <c r="A13" s="7" t="s">
        <v>177</v>
      </c>
      <c r="B13" s="7" t="s">
        <v>178</v>
      </c>
      <c r="C13" s="7" t="s">
        <v>179</v>
      </c>
      <c r="D13" s="7" t="s">
        <v>180</v>
      </c>
    </row>
    <row r="15" customFormat="false" ht="31.5" hidden="false" customHeight="true" outlineLevel="0" collapsed="false">
      <c r="A15" s="35" t="s">
        <v>181</v>
      </c>
      <c r="B15" s="35"/>
      <c r="C15" s="35"/>
      <c r="D15" s="35"/>
    </row>
  </sheetData>
  <mergeCells count="1">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4"/>
    <col collapsed="false" customWidth="true" hidden="false" outlineLevel="0" max="3" min="3" style="1" width="12"/>
    <col collapsed="false" customWidth="true" hidden="false" outlineLevel="0" max="4" min="4" style="1" width="20"/>
    <col collapsed="false" customWidth="true" hidden="false" outlineLevel="0" max="5" min="5" style="1" width="22"/>
    <col collapsed="false" customWidth="true" hidden="false" outlineLevel="0" max="6" min="6" style="1" width="14"/>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0" min="10" style="1" width="26"/>
  </cols>
  <sheetData>
    <row r="1" customFormat="false" ht="17.25" hidden="false" customHeight="true" outlineLevel="0" collapsed="false">
      <c r="A1" s="2" t="s">
        <v>182</v>
      </c>
    </row>
    <row r="2" customFormat="false" ht="15" hidden="false" customHeight="true" outlineLevel="0" collapsed="false">
      <c r="A2" s="3" t="s">
        <v>183</v>
      </c>
    </row>
    <row r="4" customFormat="false" ht="30" hidden="false" customHeight="true" outlineLevel="0" collapsed="false">
      <c r="A4" s="5" t="s">
        <v>49</v>
      </c>
      <c r="B4" s="5" t="s">
        <v>50</v>
      </c>
      <c r="C4" s="5" t="s">
        <v>184</v>
      </c>
      <c r="D4" s="5" t="s">
        <v>185</v>
      </c>
      <c r="E4" s="5" t="s">
        <v>186</v>
      </c>
      <c r="F4" s="5" t="s">
        <v>187</v>
      </c>
      <c r="G4" s="5" t="s">
        <v>188</v>
      </c>
      <c r="H4" s="5" t="s">
        <v>189</v>
      </c>
      <c r="I4" s="5" t="s">
        <v>190</v>
      </c>
      <c r="J4" s="5" t="s">
        <v>191</v>
      </c>
    </row>
    <row r="5" customFormat="false" ht="15" hidden="false" customHeight="true" outlineLevel="0" collapsed="false">
      <c r="A5" s="36" t="s">
        <v>192</v>
      </c>
      <c r="B5" s="36" t="s">
        <v>62</v>
      </c>
      <c r="C5" s="36" t="s">
        <v>193</v>
      </c>
      <c r="D5" s="36" t="s">
        <v>194</v>
      </c>
      <c r="E5" s="36" t="s">
        <v>195</v>
      </c>
      <c r="F5" s="36" t="s">
        <v>196</v>
      </c>
      <c r="G5" s="36" t="s">
        <v>197</v>
      </c>
      <c r="H5" s="36" t="s">
        <v>198</v>
      </c>
      <c r="I5" s="36" t="n">
        <v>76</v>
      </c>
      <c r="J5" s="36" t="s">
        <v>199</v>
      </c>
    </row>
    <row r="6" customFormat="false" ht="15" hidden="false" customHeight="true" outlineLevel="0" collapsed="false">
      <c r="A6" s="37"/>
      <c r="B6" s="37"/>
      <c r="C6" s="37"/>
      <c r="D6" s="37"/>
      <c r="E6" s="37"/>
      <c r="F6" s="37"/>
      <c r="G6" s="37"/>
      <c r="H6" s="37"/>
      <c r="I6" s="37"/>
      <c r="J6" s="37"/>
    </row>
    <row r="7" customFormat="false" ht="15" hidden="false" customHeight="true" outlineLevel="0" collapsed="false">
      <c r="A7" s="37"/>
      <c r="B7" s="37"/>
      <c r="C7" s="37"/>
      <c r="D7" s="37"/>
      <c r="E7" s="37"/>
      <c r="F7" s="37"/>
      <c r="G7" s="37"/>
      <c r="H7" s="37"/>
      <c r="I7" s="37"/>
      <c r="J7" s="37"/>
    </row>
    <row r="8" customFormat="false" ht="15" hidden="false" customHeight="true" outlineLevel="0" collapsed="false">
      <c r="A8" s="37"/>
      <c r="B8" s="37"/>
      <c r="C8" s="37"/>
      <c r="D8" s="37"/>
      <c r="E8" s="37"/>
      <c r="F8" s="37"/>
      <c r="G8" s="37"/>
      <c r="H8" s="37"/>
      <c r="I8" s="37"/>
      <c r="J8" s="37"/>
    </row>
    <row r="9" customFormat="false" ht="15" hidden="false" customHeight="true" outlineLevel="0" collapsed="false">
      <c r="A9" s="37"/>
      <c r="B9" s="37"/>
      <c r="C9" s="37"/>
      <c r="D9" s="37"/>
      <c r="E9" s="37"/>
      <c r="F9" s="37"/>
      <c r="G9" s="37"/>
      <c r="H9" s="37"/>
      <c r="I9" s="37"/>
      <c r="J9" s="37"/>
    </row>
    <row r="10" customFormat="false" ht="15" hidden="false" customHeight="true" outlineLevel="0" collapsed="false">
      <c r="A10" s="37"/>
      <c r="B10" s="37"/>
      <c r="C10" s="37"/>
      <c r="D10" s="37"/>
      <c r="E10" s="37"/>
      <c r="F10" s="37"/>
      <c r="G10" s="37"/>
      <c r="H10" s="37"/>
      <c r="I10" s="37"/>
      <c r="J10" s="37"/>
    </row>
    <row r="11" customFormat="false" ht="15" hidden="false" customHeight="true" outlineLevel="0" collapsed="false">
      <c r="A11" s="37"/>
      <c r="B11" s="37"/>
      <c r="C11" s="37"/>
      <c r="D11" s="37"/>
      <c r="E11" s="37"/>
      <c r="F11" s="37"/>
      <c r="G11" s="37"/>
      <c r="H11" s="37"/>
      <c r="I11" s="37"/>
      <c r="J11" s="37"/>
    </row>
    <row r="12" customFormat="false" ht="15" hidden="false" customHeight="true" outlineLevel="0" collapsed="false">
      <c r="A12" s="37"/>
      <c r="B12" s="37"/>
      <c r="C12" s="37"/>
      <c r="D12" s="37"/>
      <c r="E12" s="37"/>
      <c r="F12" s="37"/>
      <c r="G12" s="37"/>
      <c r="H12" s="37"/>
      <c r="I12" s="37"/>
      <c r="J12" s="37"/>
    </row>
    <row r="13" customFormat="false" ht="15" hidden="false" customHeight="true" outlineLevel="0" collapsed="false">
      <c r="A13" s="37"/>
      <c r="B13" s="37"/>
      <c r="C13" s="37"/>
      <c r="D13" s="37"/>
      <c r="E13" s="37"/>
      <c r="F13" s="37"/>
      <c r="G13" s="37"/>
      <c r="H13" s="37"/>
      <c r="I13" s="37"/>
      <c r="J13" s="37"/>
    </row>
    <row r="14" customFormat="false" ht="15" hidden="false" customHeight="true" outlineLevel="0" collapsed="false">
      <c r="A14" s="37"/>
      <c r="B14" s="37"/>
      <c r="C14" s="37"/>
      <c r="D14" s="37"/>
      <c r="E14" s="37"/>
      <c r="F14" s="37"/>
      <c r="G14" s="37"/>
      <c r="H14" s="37"/>
      <c r="I14" s="37"/>
      <c r="J14" s="37"/>
    </row>
    <row r="15" customFormat="false" ht="15" hidden="false" customHeight="true" outlineLevel="0" collapsed="false">
      <c r="A15" s="37"/>
      <c r="B15" s="37"/>
      <c r="C15" s="37"/>
      <c r="D15" s="37"/>
      <c r="E15" s="37"/>
      <c r="F15" s="37"/>
      <c r="G15" s="37"/>
      <c r="H15" s="37"/>
      <c r="I15" s="37"/>
      <c r="J15" s="37"/>
    </row>
    <row r="16" customFormat="false" ht="15" hidden="false" customHeight="true" outlineLevel="0" collapsed="false">
      <c r="A16" s="37"/>
      <c r="B16" s="37"/>
      <c r="C16" s="37"/>
      <c r="D16" s="37"/>
      <c r="E16" s="37"/>
      <c r="F16" s="37"/>
      <c r="G16" s="37"/>
      <c r="H16" s="37"/>
      <c r="I16" s="37"/>
      <c r="J16" s="37"/>
    </row>
    <row r="17" customFormat="false" ht="15" hidden="false" customHeight="true" outlineLevel="0" collapsed="false">
      <c r="A17" s="37"/>
      <c r="B17" s="37"/>
      <c r="C17" s="37"/>
      <c r="D17" s="37"/>
      <c r="E17" s="37"/>
      <c r="F17" s="37"/>
      <c r="G17" s="37"/>
      <c r="H17" s="37"/>
      <c r="I17" s="37"/>
      <c r="J17" s="37"/>
    </row>
    <row r="18" customFormat="false" ht="15" hidden="false" customHeight="true" outlineLevel="0" collapsed="false">
      <c r="A18" s="37"/>
      <c r="B18" s="37"/>
      <c r="C18" s="37"/>
      <c r="D18" s="37"/>
      <c r="E18" s="37"/>
      <c r="F18" s="37"/>
      <c r="G18" s="37"/>
      <c r="H18" s="37"/>
      <c r="I18" s="37"/>
      <c r="J18" s="37"/>
    </row>
    <row r="19" customFormat="false" ht="15" hidden="false" customHeight="true" outlineLevel="0" collapsed="false">
      <c r="A19" s="37"/>
      <c r="B19" s="37"/>
      <c r="C19" s="37"/>
      <c r="D19" s="37"/>
      <c r="E19" s="37"/>
      <c r="F19" s="37"/>
      <c r="G19" s="37"/>
      <c r="H19" s="37"/>
      <c r="I19" s="37"/>
      <c r="J19" s="37"/>
    </row>
    <row r="20" customFormat="false" ht="15" hidden="false" customHeight="true" outlineLevel="0" collapsed="false">
      <c r="A20" s="37"/>
      <c r="B20" s="37"/>
      <c r="C20" s="37"/>
      <c r="D20" s="37"/>
      <c r="E20" s="37"/>
      <c r="F20" s="37"/>
      <c r="G20" s="37"/>
      <c r="H20" s="37"/>
      <c r="I20" s="37"/>
      <c r="J20" s="37"/>
    </row>
    <row r="21" customFormat="false" ht="15" hidden="false" customHeight="true" outlineLevel="0" collapsed="false">
      <c r="A21" s="37"/>
      <c r="B21" s="37"/>
      <c r="C21" s="37"/>
      <c r="D21" s="37"/>
      <c r="E21" s="37"/>
      <c r="F21" s="37"/>
      <c r="G21" s="37"/>
      <c r="H21" s="37"/>
      <c r="I21" s="37"/>
      <c r="J21" s="37"/>
    </row>
    <row r="22" customFormat="false" ht="15" hidden="false" customHeight="true" outlineLevel="0" collapsed="false">
      <c r="A22" s="37"/>
      <c r="B22" s="37"/>
      <c r="C22" s="37"/>
      <c r="D22" s="37"/>
      <c r="E22" s="37"/>
      <c r="F22" s="37"/>
      <c r="G22" s="37"/>
      <c r="H22" s="37"/>
      <c r="I22" s="37"/>
      <c r="J22" s="37"/>
    </row>
    <row r="23" customFormat="false" ht="15" hidden="false" customHeight="true" outlineLevel="0" collapsed="false">
      <c r="A23" s="37"/>
      <c r="B23" s="37"/>
      <c r="C23" s="37"/>
      <c r="D23" s="37"/>
      <c r="E23" s="37"/>
      <c r="F23" s="37"/>
      <c r="G23" s="37"/>
      <c r="H23" s="37"/>
      <c r="I23" s="37"/>
      <c r="J23" s="37"/>
    </row>
    <row r="24" customFormat="false" ht="15" hidden="false" customHeight="true" outlineLevel="0" collapsed="false">
      <c r="A24" s="37"/>
      <c r="B24" s="37"/>
      <c r="C24" s="37"/>
      <c r="D24" s="37"/>
      <c r="E24" s="37"/>
      <c r="F24" s="37"/>
      <c r="G24" s="37"/>
      <c r="H24" s="37"/>
      <c r="I24" s="37"/>
      <c r="J24" s="37"/>
    </row>
    <row r="25" customFormat="false" ht="15" hidden="false" customHeight="true" outlineLevel="0" collapsed="false">
      <c r="A25" s="37"/>
      <c r="B25" s="37"/>
      <c r="C25" s="37"/>
      <c r="D25" s="37"/>
      <c r="E25" s="37"/>
      <c r="F25" s="37"/>
      <c r="G25" s="37"/>
      <c r="H25" s="37"/>
      <c r="I25" s="37"/>
      <c r="J25" s="37"/>
    </row>
    <row r="26" customFormat="false" ht="15" hidden="false" customHeight="true" outlineLevel="0" collapsed="false">
      <c r="A26" s="37"/>
      <c r="B26" s="37"/>
      <c r="C26" s="37"/>
      <c r="D26" s="37"/>
      <c r="E26" s="37"/>
      <c r="F26" s="37"/>
      <c r="G26" s="37"/>
      <c r="H26" s="37"/>
      <c r="I26" s="37"/>
      <c r="J26" s="37"/>
    </row>
    <row r="27" customFormat="false" ht="15" hidden="false" customHeight="true" outlineLevel="0" collapsed="false">
      <c r="A27" s="37"/>
      <c r="B27" s="37"/>
      <c r="C27" s="37"/>
      <c r="D27" s="37"/>
      <c r="E27" s="37"/>
      <c r="F27" s="37"/>
      <c r="G27" s="37"/>
      <c r="H27" s="37"/>
      <c r="I27" s="37"/>
      <c r="J27" s="37"/>
    </row>
    <row r="28" customFormat="false" ht="15" hidden="false" customHeight="true" outlineLevel="0" collapsed="false">
      <c r="A28" s="37"/>
      <c r="B28" s="37"/>
      <c r="C28" s="37"/>
      <c r="D28" s="37"/>
      <c r="E28" s="37"/>
      <c r="F28" s="37"/>
      <c r="G28" s="37"/>
      <c r="H28" s="37"/>
      <c r="I28" s="37"/>
      <c r="J28" s="37"/>
    </row>
    <row r="29" customFormat="false" ht="15" hidden="false" customHeight="true" outlineLevel="0" collapsed="false">
      <c r="A29" s="37"/>
      <c r="B29" s="37"/>
      <c r="C29" s="37"/>
      <c r="D29" s="37"/>
      <c r="E29" s="37"/>
      <c r="F29" s="37"/>
      <c r="G29" s="37"/>
      <c r="H29" s="37"/>
      <c r="I29" s="37"/>
      <c r="J29" s="37"/>
    </row>
    <row r="30" customFormat="false" ht="15" hidden="false" customHeight="true" outlineLevel="0" collapsed="false">
      <c r="A30" s="37"/>
      <c r="B30" s="37"/>
      <c r="C30" s="37"/>
      <c r="D30" s="37"/>
      <c r="E30" s="37"/>
      <c r="F30" s="37"/>
      <c r="G30" s="37"/>
      <c r="H30" s="37"/>
      <c r="I30" s="37"/>
      <c r="J30" s="37"/>
    </row>
    <row r="31" customFormat="false" ht="15" hidden="false" customHeight="true" outlineLevel="0" collapsed="false">
      <c r="A31" s="37"/>
      <c r="B31" s="37"/>
      <c r="C31" s="37"/>
      <c r="D31" s="37"/>
      <c r="E31" s="37"/>
      <c r="F31" s="37"/>
      <c r="G31" s="37"/>
      <c r="H31" s="37"/>
      <c r="I31" s="37"/>
      <c r="J31" s="37"/>
    </row>
    <row r="32" customFormat="false" ht="15" hidden="false" customHeight="true" outlineLevel="0" collapsed="false">
      <c r="A32" s="37"/>
      <c r="B32" s="37"/>
      <c r="C32" s="37"/>
      <c r="D32" s="37"/>
      <c r="E32" s="37"/>
      <c r="F32" s="37"/>
      <c r="G32" s="37"/>
      <c r="H32" s="37"/>
      <c r="I32" s="37"/>
      <c r="J32" s="37"/>
    </row>
    <row r="33" customFormat="false" ht="15" hidden="false" customHeight="true" outlineLevel="0" collapsed="false">
      <c r="A33" s="37"/>
      <c r="B33" s="37"/>
      <c r="C33" s="37"/>
      <c r="D33" s="37"/>
      <c r="E33" s="37"/>
      <c r="F33" s="37"/>
      <c r="G33" s="37"/>
      <c r="H33" s="37"/>
      <c r="I33" s="37"/>
      <c r="J33" s="37"/>
    </row>
    <row r="34" customFormat="false" ht="15" hidden="false" customHeight="true" outlineLevel="0" collapsed="false">
      <c r="A34" s="37"/>
      <c r="B34" s="37"/>
      <c r="C34" s="37"/>
      <c r="D34" s="37"/>
      <c r="E34" s="37"/>
      <c r="F34" s="37"/>
      <c r="G34" s="37"/>
      <c r="H34" s="37"/>
      <c r="I34" s="37"/>
      <c r="J34" s="37"/>
    </row>
    <row r="35" customFormat="false" ht="15" hidden="false" customHeight="true" outlineLevel="0" collapsed="false">
      <c r="A35" s="37"/>
      <c r="B35" s="37"/>
      <c r="C35" s="37"/>
      <c r="D35" s="37"/>
      <c r="E35" s="37"/>
      <c r="F35" s="37"/>
      <c r="G35" s="37"/>
      <c r="H35" s="37"/>
      <c r="I35" s="37"/>
      <c r="J35" s="37"/>
    </row>
    <row r="36" customFormat="false" ht="15" hidden="false" customHeight="true" outlineLevel="0" collapsed="false">
      <c r="A36" s="37"/>
      <c r="B36" s="37"/>
      <c r="C36" s="37"/>
      <c r="D36" s="37"/>
      <c r="E36" s="37"/>
      <c r="F36" s="37"/>
      <c r="G36" s="37"/>
      <c r="H36" s="37"/>
      <c r="I36" s="37"/>
      <c r="J36" s="37"/>
    </row>
    <row r="37" customFormat="false" ht="15" hidden="false" customHeight="true" outlineLevel="0" collapsed="false">
      <c r="A37" s="37"/>
      <c r="B37" s="37"/>
      <c r="C37" s="37"/>
      <c r="D37" s="37"/>
      <c r="E37" s="37"/>
      <c r="F37" s="37"/>
      <c r="G37" s="37"/>
      <c r="H37" s="37"/>
      <c r="I37" s="37"/>
      <c r="J37" s="37"/>
    </row>
    <row r="38" customFormat="false" ht="15" hidden="false" customHeight="true" outlineLevel="0" collapsed="false">
      <c r="A38" s="37"/>
      <c r="B38" s="37"/>
      <c r="C38" s="37"/>
      <c r="D38" s="37"/>
      <c r="E38" s="37"/>
      <c r="F38" s="37"/>
      <c r="G38" s="37"/>
      <c r="H38" s="37"/>
      <c r="I38" s="37"/>
      <c r="J38" s="37"/>
    </row>
    <row r="39" customFormat="false" ht="15" hidden="false" customHeight="true" outlineLevel="0" collapsed="false">
      <c r="A39" s="37"/>
      <c r="B39" s="37"/>
      <c r="C39" s="37"/>
      <c r="D39" s="37"/>
      <c r="E39" s="37"/>
      <c r="F39" s="37"/>
      <c r="G39" s="37"/>
      <c r="H39" s="37"/>
      <c r="I39" s="37"/>
      <c r="J39" s="37"/>
    </row>
    <row r="40" customFormat="false" ht="15" hidden="false" customHeight="true" outlineLevel="0" collapsed="false">
      <c r="A40" s="37"/>
      <c r="B40" s="37"/>
      <c r="C40" s="37"/>
      <c r="D40" s="37"/>
      <c r="E40" s="37"/>
      <c r="F40" s="37"/>
      <c r="G40" s="37"/>
      <c r="H40" s="37"/>
      <c r="I40" s="37"/>
      <c r="J40" s="37"/>
    </row>
    <row r="41" customFormat="false" ht="15" hidden="false" customHeight="true" outlineLevel="0" collapsed="false">
      <c r="A41" s="37"/>
      <c r="B41" s="37"/>
      <c r="C41" s="37"/>
      <c r="D41" s="37"/>
      <c r="E41" s="37"/>
      <c r="F41" s="37"/>
      <c r="G41" s="37"/>
      <c r="H41" s="37"/>
      <c r="I41" s="37"/>
      <c r="J41" s="37"/>
    </row>
    <row r="42" customFormat="false" ht="15" hidden="false" customHeight="true" outlineLevel="0" collapsed="false">
      <c r="A42" s="37"/>
      <c r="B42" s="37"/>
      <c r="C42" s="37"/>
      <c r="D42" s="37"/>
      <c r="E42" s="37"/>
      <c r="F42" s="37"/>
      <c r="G42" s="37"/>
      <c r="H42" s="37"/>
      <c r="I42" s="37"/>
      <c r="J42" s="37"/>
    </row>
    <row r="43" customFormat="false" ht="15" hidden="false" customHeight="true" outlineLevel="0" collapsed="false">
      <c r="A43" s="37"/>
      <c r="B43" s="37"/>
      <c r="C43" s="37"/>
      <c r="D43" s="37"/>
      <c r="E43" s="37"/>
      <c r="F43" s="37"/>
      <c r="G43" s="37"/>
      <c r="H43" s="37"/>
      <c r="I43" s="37"/>
      <c r="J43" s="37"/>
    </row>
    <row r="44" customFormat="false" ht="15" hidden="false" customHeight="true" outlineLevel="0" collapsed="false">
      <c r="A44" s="37"/>
      <c r="B44" s="37"/>
      <c r="C44" s="37"/>
      <c r="D44" s="37"/>
      <c r="E44" s="37"/>
      <c r="F44" s="37"/>
      <c r="G44" s="37"/>
      <c r="H44" s="37"/>
      <c r="I44" s="37"/>
      <c r="J44" s="37"/>
    </row>
    <row r="45" customFormat="false" ht="15" hidden="false" customHeight="true" outlineLevel="0" collapsed="false">
      <c r="A45" s="37"/>
      <c r="B45" s="37"/>
      <c r="C45" s="37"/>
      <c r="D45" s="37"/>
      <c r="E45" s="37"/>
      <c r="F45" s="37"/>
      <c r="G45" s="37"/>
      <c r="H45" s="37"/>
      <c r="I45" s="37"/>
      <c r="J45" s="37"/>
    </row>
    <row r="46" customFormat="false" ht="15" hidden="false" customHeight="true" outlineLevel="0" collapsed="false">
      <c r="A46" s="37"/>
      <c r="B46" s="37"/>
      <c r="C46" s="37"/>
      <c r="D46" s="37"/>
      <c r="E46" s="37"/>
      <c r="F46" s="37"/>
      <c r="G46" s="37"/>
      <c r="H46" s="37"/>
      <c r="I46" s="37"/>
      <c r="J46" s="37"/>
    </row>
    <row r="47" customFormat="false" ht="15" hidden="false" customHeight="true" outlineLevel="0" collapsed="false">
      <c r="A47" s="37"/>
      <c r="B47" s="37"/>
      <c r="C47" s="37"/>
      <c r="D47" s="37"/>
      <c r="E47" s="37"/>
      <c r="F47" s="37"/>
      <c r="G47" s="37"/>
      <c r="H47" s="37"/>
      <c r="I47" s="37"/>
      <c r="J47" s="37"/>
    </row>
    <row r="48" customFormat="false" ht="15" hidden="false" customHeight="true" outlineLevel="0" collapsed="false">
      <c r="A48" s="37"/>
      <c r="B48" s="37"/>
      <c r="C48" s="37"/>
      <c r="D48" s="37"/>
      <c r="E48" s="37"/>
      <c r="F48" s="37"/>
      <c r="G48" s="37"/>
      <c r="H48" s="37"/>
      <c r="I48" s="37"/>
      <c r="J48" s="37"/>
    </row>
    <row r="49" customFormat="false" ht="15" hidden="false" customHeight="true" outlineLevel="0" collapsed="false">
      <c r="A49" s="37"/>
      <c r="B49" s="37"/>
      <c r="C49" s="37"/>
      <c r="D49" s="37"/>
      <c r="E49" s="37"/>
      <c r="F49" s="37"/>
      <c r="G49" s="37"/>
      <c r="H49" s="37"/>
      <c r="I49" s="37"/>
      <c r="J49" s="37"/>
    </row>
    <row r="50" customFormat="false" ht="15" hidden="false" customHeight="true" outlineLevel="0" collapsed="false">
      <c r="A50" s="37"/>
      <c r="B50" s="37"/>
      <c r="C50" s="37"/>
      <c r="D50" s="37"/>
      <c r="E50" s="37"/>
      <c r="F50" s="37"/>
      <c r="G50" s="37"/>
      <c r="H50" s="37"/>
      <c r="I50" s="37"/>
      <c r="J50" s="37"/>
    </row>
    <row r="51" customFormat="false" ht="15" hidden="false" customHeight="true" outlineLevel="0" collapsed="false">
      <c r="A51" s="37"/>
      <c r="B51" s="37"/>
      <c r="C51" s="37"/>
      <c r="D51" s="37"/>
      <c r="E51" s="37"/>
      <c r="F51" s="37"/>
      <c r="G51" s="37"/>
      <c r="H51" s="37"/>
      <c r="I51" s="37"/>
      <c r="J51" s="37"/>
    </row>
    <row r="52" customFormat="false" ht="15" hidden="false" customHeight="true" outlineLevel="0" collapsed="false">
      <c r="A52" s="37"/>
      <c r="B52" s="37"/>
      <c r="C52" s="37"/>
      <c r="D52" s="37"/>
      <c r="E52" s="37"/>
      <c r="F52" s="37"/>
      <c r="G52" s="37"/>
      <c r="H52" s="37"/>
      <c r="I52" s="37"/>
      <c r="J52" s="37"/>
    </row>
    <row r="53" customFormat="false" ht="15" hidden="false" customHeight="true" outlineLevel="0" collapsed="false">
      <c r="A53" s="37"/>
      <c r="B53" s="37"/>
      <c r="C53" s="37"/>
      <c r="D53" s="37"/>
      <c r="E53" s="37"/>
      <c r="F53" s="37"/>
      <c r="G53" s="37"/>
      <c r="H53" s="37"/>
      <c r="I53" s="37"/>
      <c r="J53" s="37"/>
    </row>
    <row r="54" customFormat="false" ht="15" hidden="false" customHeight="true" outlineLevel="0" collapsed="false">
      <c r="A54" s="37"/>
      <c r="B54" s="37"/>
      <c r="C54" s="37"/>
      <c r="D54" s="37"/>
      <c r="E54" s="37"/>
      <c r="F54" s="37"/>
      <c r="G54" s="37"/>
      <c r="H54" s="37"/>
      <c r="I54" s="37"/>
      <c r="J54" s="37"/>
    </row>
    <row r="55" customFormat="false" ht="15" hidden="false" customHeight="true" outlineLevel="0" collapsed="false">
      <c r="A55" s="37"/>
      <c r="B55" s="37"/>
      <c r="C55" s="37"/>
      <c r="D55" s="37"/>
      <c r="E55" s="37"/>
      <c r="F55" s="37"/>
      <c r="G55" s="37"/>
      <c r="H55" s="37"/>
      <c r="I55" s="37"/>
      <c r="J55" s="37"/>
    </row>
    <row r="56" customFormat="false" ht="15" hidden="false" customHeight="true" outlineLevel="0" collapsed="false">
      <c r="A56" s="37"/>
      <c r="B56" s="37"/>
      <c r="C56" s="37"/>
      <c r="D56" s="37"/>
      <c r="E56" s="37"/>
      <c r="F56" s="37"/>
      <c r="G56" s="37"/>
      <c r="H56" s="37"/>
      <c r="I56" s="37"/>
      <c r="J56" s="37"/>
    </row>
    <row r="57" customFormat="false" ht="15" hidden="false" customHeight="true" outlineLevel="0" collapsed="false">
      <c r="A57" s="37"/>
      <c r="B57" s="37"/>
      <c r="C57" s="37"/>
      <c r="D57" s="37"/>
      <c r="E57" s="37"/>
      <c r="F57" s="37"/>
      <c r="G57" s="37"/>
      <c r="H57" s="37"/>
      <c r="I57" s="37"/>
      <c r="J57" s="37"/>
    </row>
    <row r="58" customFormat="false" ht="15" hidden="false" customHeight="true" outlineLevel="0" collapsed="false">
      <c r="A58" s="37"/>
      <c r="B58" s="37"/>
      <c r="C58" s="37"/>
      <c r="D58" s="37"/>
      <c r="E58" s="37"/>
      <c r="F58" s="37"/>
      <c r="G58" s="37"/>
      <c r="H58" s="37"/>
      <c r="I58" s="37"/>
      <c r="J58" s="37"/>
    </row>
    <row r="59" customFormat="false" ht="15" hidden="false" customHeight="true" outlineLevel="0" collapsed="false">
      <c r="A59" s="37"/>
      <c r="B59" s="37"/>
      <c r="C59" s="37"/>
      <c r="D59" s="37"/>
      <c r="E59" s="37"/>
      <c r="F59" s="37"/>
      <c r="G59" s="37"/>
      <c r="H59" s="37"/>
      <c r="I59" s="37"/>
      <c r="J59"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0"/>
    <col collapsed="false" customWidth="true" hidden="false" outlineLevel="0" max="4" min="4" style="1" width="14"/>
    <col collapsed="false" customWidth="true" hidden="false" outlineLevel="0" max="5" min="5" style="1" width="44"/>
  </cols>
  <sheetData>
    <row r="1" customFormat="false" ht="17.25" hidden="false" customHeight="true" outlineLevel="0" collapsed="false">
      <c r="A1" s="2" t="s">
        <v>200</v>
      </c>
    </row>
    <row r="2" customFormat="false" ht="27.75" hidden="false" customHeight="true" outlineLevel="0" collapsed="false">
      <c r="A2" s="38" t="s">
        <v>201</v>
      </c>
      <c r="B2" s="38"/>
      <c r="C2" s="38"/>
      <c r="D2" s="38"/>
      <c r="E2" s="38"/>
    </row>
    <row r="4" customFormat="false" ht="27.75" hidden="false" customHeight="true" outlineLevel="0" collapsed="false">
      <c r="A4" s="5" t="s">
        <v>202</v>
      </c>
      <c r="B4" s="5" t="s">
        <v>49</v>
      </c>
      <c r="C4" s="5" t="s">
        <v>203</v>
      </c>
      <c r="D4" s="5" t="s">
        <v>204</v>
      </c>
      <c r="E4" s="5" t="s">
        <v>205</v>
      </c>
    </row>
    <row r="5" customFormat="false" ht="23.25" hidden="false" customHeight="true" outlineLevel="0" collapsed="false">
      <c r="A5" s="16" t="s">
        <v>206</v>
      </c>
      <c r="B5" s="16" t="s">
        <v>207</v>
      </c>
      <c r="C5" s="16" t="s">
        <v>110</v>
      </c>
      <c r="D5" s="29" t="n">
        <v>2016</v>
      </c>
      <c r="E5" s="16" t="s">
        <v>208</v>
      </c>
    </row>
    <row r="6" customFormat="false" ht="23.25" hidden="false" customHeight="true" outlineLevel="0" collapsed="false">
      <c r="A6" s="16" t="s">
        <v>206</v>
      </c>
      <c r="B6" s="16" t="s">
        <v>209</v>
      </c>
      <c r="C6" s="16" t="s">
        <v>62</v>
      </c>
      <c r="D6" s="29" t="n">
        <v>2024</v>
      </c>
      <c r="E6" s="16" t="s">
        <v>208</v>
      </c>
    </row>
    <row r="7" customFormat="false" ht="23.25" hidden="false" customHeight="true" outlineLevel="0" collapsed="false">
      <c r="A7" s="16" t="s">
        <v>206</v>
      </c>
      <c r="B7" s="16" t="s">
        <v>210</v>
      </c>
      <c r="C7" s="16" t="s">
        <v>62</v>
      </c>
      <c r="D7" s="29" t="n">
        <v>2020</v>
      </c>
      <c r="E7" s="16" t="s">
        <v>208</v>
      </c>
    </row>
    <row r="8" customFormat="false" ht="23.25" hidden="false" customHeight="true" outlineLevel="0" collapsed="false">
      <c r="A8" s="16" t="s">
        <v>206</v>
      </c>
      <c r="B8" s="16" t="s">
        <v>211</v>
      </c>
      <c r="C8" s="16" t="s">
        <v>62</v>
      </c>
      <c r="D8" s="29" t="n">
        <v>2024</v>
      </c>
      <c r="E8" s="16" t="s">
        <v>208</v>
      </c>
    </row>
    <row r="9" customFormat="false" ht="23.25" hidden="false" customHeight="true" outlineLevel="0" collapsed="false">
      <c r="A9" s="16" t="s">
        <v>212</v>
      </c>
      <c r="B9" s="16" t="s">
        <v>213</v>
      </c>
      <c r="C9" s="16" t="s">
        <v>57</v>
      </c>
      <c r="D9" s="29" t="n">
        <v>2024</v>
      </c>
      <c r="E9" s="16" t="s">
        <v>208</v>
      </c>
    </row>
    <row r="10" customFormat="false" ht="23.25" hidden="false" customHeight="true" outlineLevel="0" collapsed="false">
      <c r="A10" s="16" t="s">
        <v>212</v>
      </c>
      <c r="B10" s="16" t="s">
        <v>214</v>
      </c>
      <c r="C10" s="16" t="s">
        <v>114</v>
      </c>
      <c r="D10" s="29" t="n">
        <v>2023</v>
      </c>
      <c r="E10" s="16" t="s">
        <v>208</v>
      </c>
    </row>
    <row r="11" customFormat="false" ht="23.25" hidden="false" customHeight="true" outlineLevel="0" collapsed="false">
      <c r="A11" s="16" t="s">
        <v>212</v>
      </c>
      <c r="B11" s="16" t="s">
        <v>215</v>
      </c>
      <c r="C11" s="16" t="s">
        <v>62</v>
      </c>
      <c r="D11" s="29" t="n">
        <v>2024</v>
      </c>
      <c r="E11" s="16" t="s">
        <v>208</v>
      </c>
    </row>
    <row r="12" customFormat="false" ht="23.25" hidden="false" customHeight="true" outlineLevel="0" collapsed="false">
      <c r="A12" s="16" t="s">
        <v>212</v>
      </c>
      <c r="B12" s="16" t="s">
        <v>216</v>
      </c>
      <c r="C12" s="16" t="s">
        <v>75</v>
      </c>
      <c r="D12" s="29" t="n">
        <v>2023</v>
      </c>
      <c r="E12" s="16" t="s">
        <v>208</v>
      </c>
    </row>
    <row r="13" customFormat="false" ht="23.25" hidden="false" customHeight="true" outlineLevel="0" collapsed="false">
      <c r="A13" s="16" t="s">
        <v>212</v>
      </c>
      <c r="B13" s="16" t="s">
        <v>217</v>
      </c>
      <c r="C13" s="16" t="s">
        <v>62</v>
      </c>
      <c r="D13" s="29" t="n">
        <v>2024</v>
      </c>
      <c r="E13" s="16" t="s">
        <v>208</v>
      </c>
    </row>
    <row r="14" customFormat="false" ht="23.25" hidden="false" customHeight="true" outlineLevel="0" collapsed="false">
      <c r="A14" s="16" t="s">
        <v>212</v>
      </c>
      <c r="B14" s="16" t="s">
        <v>218</v>
      </c>
      <c r="C14" s="16" t="s">
        <v>62</v>
      </c>
      <c r="D14" s="29" t="n">
        <v>2023</v>
      </c>
      <c r="E14" s="16" t="s">
        <v>208</v>
      </c>
    </row>
    <row r="15" customFormat="false" ht="23.25" hidden="false" customHeight="true" outlineLevel="0" collapsed="false">
      <c r="A15" s="16" t="s">
        <v>219</v>
      </c>
      <c r="B15" s="16" t="s">
        <v>220</v>
      </c>
      <c r="C15" s="16" t="s">
        <v>122</v>
      </c>
      <c r="D15" s="29" t="n">
        <v>2024</v>
      </c>
      <c r="E15" s="16" t="s">
        <v>208</v>
      </c>
    </row>
    <row r="16" customFormat="false" ht="23.25" hidden="false" customHeight="true" outlineLevel="0" collapsed="false">
      <c r="A16" s="16" t="s">
        <v>219</v>
      </c>
      <c r="B16" s="16" t="s">
        <v>221</v>
      </c>
      <c r="C16" s="16" t="s">
        <v>62</v>
      </c>
      <c r="D16" s="29" t="n">
        <v>2024</v>
      </c>
      <c r="E16" s="16" t="s">
        <v>208</v>
      </c>
    </row>
    <row r="17" customFormat="false" ht="23.25" hidden="false" customHeight="true" outlineLevel="0" collapsed="false">
      <c r="A17" s="16" t="s">
        <v>219</v>
      </c>
      <c r="B17" s="16" t="s">
        <v>222</v>
      </c>
      <c r="C17" s="16" t="s">
        <v>62</v>
      </c>
      <c r="D17" s="29" t="n">
        <v>2019</v>
      </c>
      <c r="E17" s="16" t="s">
        <v>208</v>
      </c>
    </row>
    <row r="18" customFormat="false" ht="23.25" hidden="false" customHeight="true" outlineLevel="0" collapsed="false">
      <c r="A18" s="16" t="s">
        <v>219</v>
      </c>
      <c r="B18" s="16" t="s">
        <v>223</v>
      </c>
      <c r="C18" s="16" t="s">
        <v>122</v>
      </c>
      <c r="D18" s="29" t="n">
        <v>2023</v>
      </c>
      <c r="E18" s="16" t="s">
        <v>208</v>
      </c>
    </row>
    <row r="19" customFormat="false" ht="23.25" hidden="false" customHeight="true" outlineLevel="0" collapsed="false">
      <c r="A19" s="16" t="s">
        <v>219</v>
      </c>
      <c r="B19" s="16" t="s">
        <v>224</v>
      </c>
      <c r="C19" s="16" t="s">
        <v>62</v>
      </c>
      <c r="D19" s="29" t="n">
        <v>2022</v>
      </c>
      <c r="E19" s="16" t="s">
        <v>208</v>
      </c>
    </row>
    <row r="20" customFormat="false" ht="23.25" hidden="false" customHeight="true" outlineLevel="0" collapsed="false">
      <c r="A20" s="16" t="s">
        <v>219</v>
      </c>
      <c r="B20" s="16" t="s">
        <v>225</v>
      </c>
      <c r="C20" s="16" t="s">
        <v>62</v>
      </c>
      <c r="D20" s="29" t="n">
        <v>2022</v>
      </c>
      <c r="E20" s="16" t="s">
        <v>208</v>
      </c>
    </row>
    <row r="21" customFormat="false" ht="23.25" hidden="false" customHeight="true" outlineLevel="0" collapsed="false">
      <c r="A21" s="16" t="s">
        <v>226</v>
      </c>
      <c r="B21" s="16" t="s">
        <v>227</v>
      </c>
      <c r="C21" s="16" t="s">
        <v>62</v>
      </c>
      <c r="D21" s="29" t="n">
        <v>2022</v>
      </c>
      <c r="E21" s="16" t="s">
        <v>208</v>
      </c>
    </row>
    <row r="22" customFormat="false" ht="23.25" hidden="false" customHeight="true" outlineLevel="0" collapsed="false">
      <c r="A22" s="16" t="s">
        <v>226</v>
      </c>
      <c r="B22" s="16" t="s">
        <v>228</v>
      </c>
      <c r="C22" s="16" t="s">
        <v>62</v>
      </c>
      <c r="D22" s="29" t="n">
        <v>2024</v>
      </c>
      <c r="E22" s="16" t="s">
        <v>208</v>
      </c>
    </row>
    <row r="23" customFormat="false" ht="23.25" hidden="false" customHeight="true" outlineLevel="0" collapsed="false">
      <c r="A23" s="16" t="s">
        <v>226</v>
      </c>
      <c r="B23" s="16" t="s">
        <v>229</v>
      </c>
      <c r="C23" s="16" t="s">
        <v>62</v>
      </c>
      <c r="D23" s="29" t="n">
        <v>2023</v>
      </c>
      <c r="E23" s="16" t="s">
        <v>208</v>
      </c>
    </row>
    <row r="24" customFormat="false" ht="23.25" hidden="false" customHeight="true" outlineLevel="0" collapsed="false">
      <c r="A24" s="16" t="s">
        <v>226</v>
      </c>
      <c r="B24" s="16" t="s">
        <v>230</v>
      </c>
      <c r="C24" s="16" t="s">
        <v>62</v>
      </c>
      <c r="D24" s="29" t="n">
        <v>2022</v>
      </c>
      <c r="E24" s="16" t="s">
        <v>208</v>
      </c>
    </row>
    <row r="25" customFormat="false" ht="23.25" hidden="false" customHeight="true" outlineLevel="0" collapsed="false">
      <c r="A25" s="16" t="s">
        <v>226</v>
      </c>
      <c r="B25" s="16" t="s">
        <v>231</v>
      </c>
      <c r="C25" s="16" t="s">
        <v>62</v>
      </c>
      <c r="D25" s="29" t="n">
        <v>2022</v>
      </c>
      <c r="E25" s="16" t="s">
        <v>208</v>
      </c>
    </row>
    <row r="26" customFormat="false" ht="23.25" hidden="false" customHeight="true" outlineLevel="0" collapsed="false">
      <c r="A26" s="16" t="s">
        <v>226</v>
      </c>
      <c r="B26" s="16" t="s">
        <v>232</v>
      </c>
      <c r="C26" s="16" t="s">
        <v>62</v>
      </c>
      <c r="D26" s="29" t="n">
        <v>2024</v>
      </c>
      <c r="E26" s="16" t="s">
        <v>208</v>
      </c>
    </row>
    <row r="27" customFormat="false" ht="23.25" hidden="false" customHeight="true" outlineLevel="0" collapsed="false">
      <c r="A27" s="16" t="s">
        <v>233</v>
      </c>
      <c r="B27" s="16" t="s">
        <v>234</v>
      </c>
      <c r="C27" s="16" t="s">
        <v>122</v>
      </c>
      <c r="D27" s="29" t="n">
        <v>2023</v>
      </c>
      <c r="E27" s="16" t="s">
        <v>208</v>
      </c>
    </row>
    <row r="28" customFormat="false" ht="23.25" hidden="false" customHeight="true" outlineLevel="0" collapsed="false">
      <c r="A28" s="16" t="s">
        <v>233</v>
      </c>
      <c r="B28" s="16" t="s">
        <v>235</v>
      </c>
      <c r="C28" s="16" t="s">
        <v>62</v>
      </c>
      <c r="D28" s="29" t="n">
        <v>2022</v>
      </c>
      <c r="E28" s="16" t="s">
        <v>208</v>
      </c>
    </row>
    <row r="29" customFormat="false" ht="15" hidden="false" customHeight="true" outlineLevel="0" collapsed="false">
      <c r="A29" s="7" t="s">
        <v>233</v>
      </c>
      <c r="B29" s="7" t="s">
        <v>236</v>
      </c>
      <c r="C29" s="7" t="s">
        <v>237</v>
      </c>
      <c r="D29" s="39" t="n">
        <v>2024</v>
      </c>
      <c r="E29" s="7" t="s">
        <v>238</v>
      </c>
    </row>
    <row r="30" customFormat="false" ht="23.25" hidden="false" customHeight="true" outlineLevel="0" collapsed="false">
      <c r="A30" s="16" t="s">
        <v>233</v>
      </c>
      <c r="B30" s="16" t="s">
        <v>239</v>
      </c>
      <c r="C30" s="16" t="s">
        <v>110</v>
      </c>
      <c r="D30" s="29" t="n">
        <v>2024</v>
      </c>
      <c r="E30" s="16" t="s">
        <v>208</v>
      </c>
    </row>
    <row r="31" customFormat="false" ht="23.25" hidden="false" customHeight="true" outlineLevel="0" collapsed="false">
      <c r="A31" s="16" t="s">
        <v>233</v>
      </c>
      <c r="B31" s="16" t="s">
        <v>240</v>
      </c>
      <c r="C31" s="16" t="s">
        <v>57</v>
      </c>
      <c r="D31" s="29" t="n">
        <v>2024</v>
      </c>
      <c r="E31" s="16" t="s">
        <v>208</v>
      </c>
    </row>
    <row r="32" customFormat="false" ht="23.25" hidden="false" customHeight="true" outlineLevel="0" collapsed="false">
      <c r="A32" s="16" t="s">
        <v>241</v>
      </c>
      <c r="B32" s="16" t="s">
        <v>242</v>
      </c>
      <c r="C32" s="16" t="s">
        <v>62</v>
      </c>
      <c r="D32" s="29" t="n">
        <v>2024</v>
      </c>
      <c r="E32" s="16" t="s">
        <v>208</v>
      </c>
    </row>
    <row r="33" customFormat="false" ht="23.25" hidden="false" customHeight="true" outlineLevel="0" collapsed="false">
      <c r="A33" s="16" t="s">
        <v>241</v>
      </c>
      <c r="B33" s="16" t="s">
        <v>243</v>
      </c>
      <c r="C33" s="16" t="s">
        <v>62</v>
      </c>
      <c r="D33" s="29" t="n">
        <v>2023</v>
      </c>
      <c r="E33" s="16" t="s">
        <v>208</v>
      </c>
    </row>
    <row r="34" customFormat="false" ht="23.25" hidden="false" customHeight="true" outlineLevel="0" collapsed="false">
      <c r="A34" s="16" t="s">
        <v>241</v>
      </c>
      <c r="B34" s="16" t="s">
        <v>244</v>
      </c>
      <c r="C34" s="16" t="s">
        <v>62</v>
      </c>
      <c r="D34" s="29" t="n">
        <v>2024</v>
      </c>
      <c r="E34" s="16" t="s">
        <v>208</v>
      </c>
    </row>
    <row r="35" customFormat="false" ht="23.25" hidden="false" customHeight="true" outlineLevel="0" collapsed="false">
      <c r="A35" s="16" t="s">
        <v>241</v>
      </c>
      <c r="B35" s="16" t="s">
        <v>245</v>
      </c>
      <c r="C35" s="16" t="s">
        <v>62</v>
      </c>
      <c r="D35" s="29" t="n">
        <v>2013</v>
      </c>
      <c r="E35" s="16" t="s">
        <v>208</v>
      </c>
    </row>
    <row r="36" customFormat="false" ht="23.25" hidden="false" customHeight="true" outlineLevel="0" collapsed="false">
      <c r="A36" s="16" t="s">
        <v>241</v>
      </c>
      <c r="B36" s="16" t="s">
        <v>246</v>
      </c>
      <c r="C36" s="16" t="s">
        <v>87</v>
      </c>
      <c r="D36" s="29" t="n">
        <v>2024</v>
      </c>
      <c r="E36" s="16" t="s">
        <v>208</v>
      </c>
    </row>
    <row r="37" customFormat="false" ht="23.25" hidden="false" customHeight="true" outlineLevel="0" collapsed="false">
      <c r="A37" s="16" t="s">
        <v>241</v>
      </c>
      <c r="B37" s="16" t="s">
        <v>247</v>
      </c>
      <c r="C37" s="16" t="s">
        <v>62</v>
      </c>
      <c r="D37" s="29" t="n">
        <v>2022</v>
      </c>
      <c r="E37" s="16" t="s">
        <v>208</v>
      </c>
    </row>
    <row r="38" customFormat="false" ht="23.25" hidden="false" customHeight="true" outlineLevel="0" collapsed="false">
      <c r="A38" s="16" t="s">
        <v>241</v>
      </c>
      <c r="B38" s="16" t="s">
        <v>248</v>
      </c>
      <c r="C38" s="16" t="s">
        <v>62</v>
      </c>
      <c r="D38" s="29" t="n">
        <v>2017</v>
      </c>
      <c r="E38" s="16" t="s">
        <v>208</v>
      </c>
    </row>
    <row r="39" customFormat="false" ht="23.25" hidden="false" customHeight="true" outlineLevel="0" collapsed="false">
      <c r="A39" s="16" t="s">
        <v>241</v>
      </c>
      <c r="B39" s="16" t="s">
        <v>249</v>
      </c>
      <c r="C39" s="16" t="s">
        <v>62</v>
      </c>
      <c r="D39" s="29" t="n">
        <v>2024</v>
      </c>
      <c r="E39" s="16" t="s">
        <v>208</v>
      </c>
    </row>
    <row r="40" customFormat="false" ht="23.25" hidden="false" customHeight="true" outlineLevel="0" collapsed="false">
      <c r="A40" s="16" t="s">
        <v>241</v>
      </c>
      <c r="B40" s="16" t="s">
        <v>192</v>
      </c>
      <c r="C40" s="16" t="s">
        <v>62</v>
      </c>
      <c r="D40" s="29" t="n">
        <v>2024</v>
      </c>
      <c r="E40" s="16" t="s">
        <v>208</v>
      </c>
    </row>
    <row r="41" customFormat="false" ht="23.25" hidden="false" customHeight="true" outlineLevel="0" collapsed="false">
      <c r="A41" s="16" t="s">
        <v>241</v>
      </c>
      <c r="B41" s="16" t="s">
        <v>250</v>
      </c>
      <c r="C41" s="16" t="s">
        <v>62</v>
      </c>
      <c r="D41" s="29" t="n">
        <v>2023</v>
      </c>
      <c r="E41" s="16" t="s">
        <v>208</v>
      </c>
    </row>
    <row r="42" customFormat="false" ht="23.25" hidden="false" customHeight="true" outlineLevel="0" collapsed="false">
      <c r="A42" s="16" t="s">
        <v>241</v>
      </c>
      <c r="B42" s="16" t="s">
        <v>251</v>
      </c>
      <c r="C42" s="16" t="s">
        <v>62</v>
      </c>
      <c r="D42" s="29" t="n">
        <v>2024</v>
      </c>
      <c r="E42" s="16" t="s">
        <v>208</v>
      </c>
    </row>
    <row r="44" customFormat="false" ht="15" hidden="false" customHeight="true" outlineLevel="0" collapsed="false">
      <c r="A44" s="40" t="s">
        <v>252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0"/>
    <col collapsed="false" customWidth="true" hidden="false" outlineLevel="0" max="4" min="4" style="1" width="14"/>
    <col collapsed="false" customWidth="true" hidden="false" outlineLevel="0" max="5" min="5" style="1" width="44"/>
  </cols>
  <sheetData>
    <row r="1" customFormat="false" ht="17.25" hidden="false" customHeight="true" outlineLevel="0" collapsed="false">
      <c r="A1" s="2" t="s">
        <v>253</v>
      </c>
    </row>
    <row r="2" customFormat="false" ht="27.75" hidden="false" customHeight="true" outlineLevel="0" collapsed="false">
      <c r="A2" s="38" t="s">
        <v>254</v>
      </c>
      <c r="B2" s="38"/>
      <c r="C2" s="38"/>
      <c r="D2" s="38"/>
      <c r="E2" s="38"/>
    </row>
    <row r="4" customFormat="false" ht="27.75" hidden="false" customHeight="true" outlineLevel="0" collapsed="false">
      <c r="A4" s="5" t="s">
        <v>202</v>
      </c>
      <c r="B4" s="5" t="s">
        <v>49</v>
      </c>
      <c r="C4" s="5" t="s">
        <v>203</v>
      </c>
      <c r="D4" s="5" t="s">
        <v>204</v>
      </c>
      <c r="E4" s="5" t="s">
        <v>205</v>
      </c>
    </row>
    <row r="5" customFormat="false" ht="23.25" hidden="false" customHeight="true" outlineLevel="0" collapsed="false">
      <c r="A5" s="16" t="s">
        <v>206</v>
      </c>
      <c r="B5" s="16" t="s">
        <v>209</v>
      </c>
      <c r="C5" s="16" t="s">
        <v>62</v>
      </c>
      <c r="D5" s="29" t="n">
        <v>2024</v>
      </c>
      <c r="E5" s="16" t="s">
        <v>208</v>
      </c>
    </row>
    <row r="6" customFormat="false" ht="23.25" hidden="false" customHeight="true" outlineLevel="0" collapsed="false">
      <c r="A6" s="16" t="s">
        <v>206</v>
      </c>
      <c r="B6" s="16" t="s">
        <v>255</v>
      </c>
      <c r="C6" s="16" t="s">
        <v>62</v>
      </c>
      <c r="D6" s="29" t="n">
        <v>2025</v>
      </c>
      <c r="E6" s="16" t="s">
        <v>208</v>
      </c>
    </row>
    <row r="7" customFormat="false" ht="23.25" hidden="false" customHeight="true" outlineLevel="0" collapsed="false">
      <c r="A7" s="16" t="s">
        <v>206</v>
      </c>
      <c r="B7" s="16" t="s">
        <v>256</v>
      </c>
      <c r="C7" s="16" t="s">
        <v>62</v>
      </c>
      <c r="D7" s="29" t="n">
        <v>2022</v>
      </c>
      <c r="E7" s="16" t="s">
        <v>208</v>
      </c>
    </row>
    <row r="8" customFormat="false" ht="23.25" hidden="false" customHeight="true" outlineLevel="0" collapsed="false">
      <c r="A8" s="16" t="s">
        <v>206</v>
      </c>
      <c r="B8" s="16" t="s">
        <v>211</v>
      </c>
      <c r="C8" s="16" t="s">
        <v>62</v>
      </c>
      <c r="D8" s="29" t="n">
        <v>2024</v>
      </c>
      <c r="E8" s="16" t="s">
        <v>208</v>
      </c>
    </row>
    <row r="9" customFormat="false" ht="23.25" hidden="false" customHeight="true" outlineLevel="0" collapsed="false">
      <c r="A9" s="16" t="s">
        <v>206</v>
      </c>
      <c r="B9" s="16" t="s">
        <v>257</v>
      </c>
      <c r="C9" s="16" t="s">
        <v>75</v>
      </c>
      <c r="D9" s="29" t="n">
        <v>2025</v>
      </c>
      <c r="E9" s="16" t="s">
        <v>208</v>
      </c>
    </row>
    <row r="10" customFormat="false" ht="23.25" hidden="false" customHeight="true" outlineLevel="0" collapsed="false">
      <c r="A10" s="16" t="s">
        <v>206</v>
      </c>
      <c r="B10" s="16" t="s">
        <v>258</v>
      </c>
      <c r="C10" s="16" t="s">
        <v>62</v>
      </c>
      <c r="D10" s="29" t="n">
        <v>2025</v>
      </c>
      <c r="E10" s="16" t="s">
        <v>208</v>
      </c>
    </row>
    <row r="11" customFormat="false" ht="23.25" hidden="false" customHeight="true" outlineLevel="0" collapsed="false">
      <c r="A11" s="16" t="s">
        <v>212</v>
      </c>
      <c r="B11" s="16" t="s">
        <v>213</v>
      </c>
      <c r="C11" s="16" t="s">
        <v>57</v>
      </c>
      <c r="D11" s="29" t="n">
        <v>2024</v>
      </c>
      <c r="E11" s="16" t="s">
        <v>208</v>
      </c>
    </row>
    <row r="12" customFormat="false" ht="23.25" hidden="false" customHeight="true" outlineLevel="0" collapsed="false">
      <c r="A12" s="16" t="s">
        <v>212</v>
      </c>
      <c r="B12" s="16" t="s">
        <v>214</v>
      </c>
      <c r="C12" s="16" t="s">
        <v>114</v>
      </c>
      <c r="D12" s="29" t="n">
        <v>2023</v>
      </c>
      <c r="E12" s="16" t="s">
        <v>208</v>
      </c>
    </row>
    <row r="13" customFormat="false" ht="23.25" hidden="false" customHeight="true" outlineLevel="0" collapsed="false">
      <c r="A13" s="16" t="s">
        <v>212</v>
      </c>
      <c r="B13" s="16" t="s">
        <v>259</v>
      </c>
      <c r="C13" s="16" t="s">
        <v>62</v>
      </c>
      <c r="D13" s="29" t="n">
        <v>2023</v>
      </c>
      <c r="E13" s="16" t="s">
        <v>208</v>
      </c>
    </row>
    <row r="14" customFormat="false" ht="23.25" hidden="false" customHeight="true" outlineLevel="0" collapsed="false">
      <c r="A14" s="16" t="s">
        <v>212</v>
      </c>
      <c r="B14" s="16" t="s">
        <v>260</v>
      </c>
      <c r="C14" s="16" t="s">
        <v>62</v>
      </c>
      <c r="D14" s="29" t="n">
        <v>2025</v>
      </c>
      <c r="E14" s="16" t="s">
        <v>208</v>
      </c>
    </row>
    <row r="15" customFormat="false" ht="23.25" hidden="false" customHeight="true" outlineLevel="0" collapsed="false">
      <c r="A15" s="16" t="s">
        <v>212</v>
      </c>
      <c r="B15" s="16" t="s">
        <v>261</v>
      </c>
      <c r="C15" s="16" t="s">
        <v>62</v>
      </c>
      <c r="D15" s="29" t="n">
        <v>2025</v>
      </c>
      <c r="E15" s="16" t="s">
        <v>208</v>
      </c>
    </row>
    <row r="16" customFormat="false" ht="23.25" hidden="false" customHeight="true" outlineLevel="0" collapsed="false">
      <c r="A16" s="16" t="s">
        <v>212</v>
      </c>
      <c r="B16" s="16" t="s">
        <v>262</v>
      </c>
      <c r="C16" s="16" t="s">
        <v>62</v>
      </c>
      <c r="D16" s="29" t="n">
        <v>2025</v>
      </c>
      <c r="E16" s="16" t="s">
        <v>208</v>
      </c>
    </row>
    <row r="17" customFormat="false" ht="23.25" hidden="false" customHeight="true" outlineLevel="0" collapsed="false">
      <c r="A17" s="16" t="s">
        <v>212</v>
      </c>
      <c r="B17" s="16" t="s">
        <v>263</v>
      </c>
      <c r="C17" s="16" t="s">
        <v>62</v>
      </c>
      <c r="D17" s="29" t="n">
        <v>2025</v>
      </c>
      <c r="E17" s="16" t="s">
        <v>208</v>
      </c>
    </row>
    <row r="18" customFormat="false" ht="23.25" hidden="false" customHeight="true" outlineLevel="0" collapsed="false">
      <c r="A18" s="16" t="s">
        <v>219</v>
      </c>
      <c r="B18" s="16" t="s">
        <v>264</v>
      </c>
      <c r="C18" s="16" t="s">
        <v>62</v>
      </c>
      <c r="D18" s="29" t="n">
        <v>2024</v>
      </c>
      <c r="E18" s="16" t="s">
        <v>208</v>
      </c>
    </row>
    <row r="19" customFormat="false" ht="23.25" hidden="false" customHeight="true" outlineLevel="0" collapsed="false">
      <c r="A19" s="16" t="s">
        <v>219</v>
      </c>
      <c r="B19" s="16" t="s">
        <v>221</v>
      </c>
      <c r="C19" s="16" t="s">
        <v>62</v>
      </c>
      <c r="D19" s="29" t="n">
        <v>2024</v>
      </c>
      <c r="E19" s="16" t="s">
        <v>208</v>
      </c>
    </row>
    <row r="20" customFormat="false" ht="23.25" hidden="false" customHeight="true" outlineLevel="0" collapsed="false">
      <c r="A20" s="16" t="s">
        <v>219</v>
      </c>
      <c r="B20" s="16" t="s">
        <v>265</v>
      </c>
      <c r="C20" s="16" t="s">
        <v>62</v>
      </c>
      <c r="D20" s="29" t="n">
        <v>2024</v>
      </c>
      <c r="E20" s="16" t="s">
        <v>208</v>
      </c>
    </row>
    <row r="21" customFormat="false" ht="23.25" hidden="false" customHeight="true" outlineLevel="0" collapsed="false">
      <c r="A21" s="16" t="s">
        <v>219</v>
      </c>
      <c r="B21" s="16" t="s">
        <v>223</v>
      </c>
      <c r="C21" s="16" t="s">
        <v>122</v>
      </c>
      <c r="D21" s="29" t="n">
        <v>2023</v>
      </c>
      <c r="E21" s="16" t="s">
        <v>208</v>
      </c>
    </row>
    <row r="22" customFormat="false" ht="23.25" hidden="false" customHeight="true" outlineLevel="0" collapsed="false">
      <c r="A22" s="16" t="s">
        <v>219</v>
      </c>
      <c r="B22" s="16" t="s">
        <v>224</v>
      </c>
      <c r="C22" s="16" t="s">
        <v>62</v>
      </c>
      <c r="D22" s="29" t="n">
        <v>2022</v>
      </c>
      <c r="E22" s="16" t="s">
        <v>208</v>
      </c>
    </row>
    <row r="23" customFormat="false" ht="23.25" hidden="false" customHeight="true" outlineLevel="0" collapsed="false">
      <c r="A23" s="16" t="s">
        <v>226</v>
      </c>
      <c r="B23" s="16" t="s">
        <v>227</v>
      </c>
      <c r="C23" s="16" t="s">
        <v>62</v>
      </c>
      <c r="D23" s="29" t="n">
        <v>2022</v>
      </c>
      <c r="E23" s="16" t="s">
        <v>208</v>
      </c>
    </row>
    <row r="24" customFormat="false" ht="23.25" hidden="false" customHeight="true" outlineLevel="0" collapsed="false">
      <c r="A24" s="16" t="s">
        <v>226</v>
      </c>
      <c r="B24" s="16" t="s">
        <v>228</v>
      </c>
      <c r="C24" s="16" t="s">
        <v>62</v>
      </c>
      <c r="D24" s="29" t="n">
        <v>2024</v>
      </c>
      <c r="E24" s="16" t="s">
        <v>208</v>
      </c>
    </row>
    <row r="25" customFormat="false" ht="23.25" hidden="false" customHeight="true" outlineLevel="0" collapsed="false">
      <c r="A25" s="16" t="s">
        <v>226</v>
      </c>
      <c r="B25" s="16" t="s">
        <v>229</v>
      </c>
      <c r="C25" s="16" t="s">
        <v>62</v>
      </c>
      <c r="D25" s="29" t="n">
        <v>2023</v>
      </c>
      <c r="E25" s="16" t="s">
        <v>208</v>
      </c>
    </row>
    <row r="26" customFormat="false" ht="23.25" hidden="false" customHeight="true" outlineLevel="0" collapsed="false">
      <c r="A26" s="16" t="s">
        <v>226</v>
      </c>
      <c r="B26" s="16" t="s">
        <v>230</v>
      </c>
      <c r="C26" s="16" t="s">
        <v>62</v>
      </c>
      <c r="D26" s="29" t="n">
        <v>2022</v>
      </c>
      <c r="E26" s="16" t="s">
        <v>208</v>
      </c>
    </row>
    <row r="27" customFormat="false" ht="23.25" hidden="false" customHeight="true" outlineLevel="0" collapsed="false">
      <c r="A27" s="16" t="s">
        <v>226</v>
      </c>
      <c r="B27" s="16" t="s">
        <v>266</v>
      </c>
      <c r="C27" s="16" t="s">
        <v>62</v>
      </c>
      <c r="D27" s="29" t="n">
        <v>2016</v>
      </c>
      <c r="E27" s="16" t="s">
        <v>208</v>
      </c>
    </row>
    <row r="28" customFormat="false" ht="23.25" hidden="false" customHeight="true" outlineLevel="0" collapsed="false">
      <c r="A28" s="16" t="s">
        <v>226</v>
      </c>
      <c r="B28" s="16" t="s">
        <v>232</v>
      </c>
      <c r="C28" s="16" t="s">
        <v>62</v>
      </c>
      <c r="D28" s="29" t="n">
        <v>2024</v>
      </c>
      <c r="E28" s="16" t="s">
        <v>208</v>
      </c>
    </row>
    <row r="29" customFormat="false" ht="23.25" hidden="false" customHeight="true" outlineLevel="0" collapsed="false">
      <c r="A29" s="16" t="s">
        <v>226</v>
      </c>
      <c r="B29" s="16" t="s">
        <v>267</v>
      </c>
      <c r="C29" s="16" t="s">
        <v>62</v>
      </c>
      <c r="D29" s="29" t="n">
        <v>2022</v>
      </c>
      <c r="E29" s="16" t="s">
        <v>208</v>
      </c>
    </row>
    <row r="30" customFormat="false" ht="23.25" hidden="false" customHeight="true" outlineLevel="0" collapsed="false">
      <c r="A30" s="16" t="s">
        <v>226</v>
      </c>
      <c r="B30" s="16" t="s">
        <v>268</v>
      </c>
      <c r="C30" s="16" t="s">
        <v>62</v>
      </c>
      <c r="D30" s="29" t="n">
        <v>2025</v>
      </c>
      <c r="E30" s="16" t="s">
        <v>208</v>
      </c>
    </row>
    <row r="31" customFormat="false" ht="23.25" hidden="false" customHeight="true" outlineLevel="0" collapsed="false">
      <c r="A31" s="16" t="s">
        <v>233</v>
      </c>
      <c r="B31" s="16" t="s">
        <v>269</v>
      </c>
      <c r="C31" s="16" t="s">
        <v>62</v>
      </c>
      <c r="D31" s="29" t="n">
        <v>2024</v>
      </c>
      <c r="E31" s="16" t="s">
        <v>208</v>
      </c>
    </row>
    <row r="32" customFormat="false" ht="23.25" hidden="false" customHeight="true" outlineLevel="0" collapsed="false">
      <c r="A32" s="16" t="s">
        <v>233</v>
      </c>
      <c r="B32" s="16" t="s">
        <v>270</v>
      </c>
      <c r="C32" s="16" t="s">
        <v>122</v>
      </c>
      <c r="D32" s="29" t="n">
        <v>2025</v>
      </c>
      <c r="E32" s="16" t="s">
        <v>208</v>
      </c>
    </row>
    <row r="33" customFormat="false" ht="23.25" hidden="false" customHeight="true" outlineLevel="0" collapsed="false">
      <c r="A33" s="16" t="s">
        <v>233</v>
      </c>
      <c r="B33" s="16" t="s">
        <v>271</v>
      </c>
      <c r="C33" s="16" t="s">
        <v>57</v>
      </c>
      <c r="D33" s="29" t="n">
        <v>2025</v>
      </c>
      <c r="E33" s="16" t="s">
        <v>208</v>
      </c>
    </row>
    <row r="34" customFormat="false" ht="23.25" hidden="false" customHeight="true" outlineLevel="0" collapsed="false">
      <c r="A34" s="16" t="s">
        <v>233</v>
      </c>
      <c r="B34" s="16" t="s">
        <v>272</v>
      </c>
      <c r="C34" s="16" t="s">
        <v>62</v>
      </c>
      <c r="D34" s="29" t="n">
        <v>2022</v>
      </c>
      <c r="E34" s="16" t="s">
        <v>208</v>
      </c>
    </row>
    <row r="35" customFormat="false" ht="23.25" hidden="false" customHeight="true" outlineLevel="0" collapsed="false">
      <c r="A35" s="16" t="s">
        <v>233</v>
      </c>
      <c r="B35" s="16" t="s">
        <v>273</v>
      </c>
      <c r="C35" s="16" t="s">
        <v>274</v>
      </c>
      <c r="D35" s="29" t="n">
        <v>2025</v>
      </c>
      <c r="E35" s="16" t="s">
        <v>208</v>
      </c>
    </row>
    <row r="36" customFormat="false" ht="23.25" hidden="false" customHeight="true" outlineLevel="0" collapsed="false">
      <c r="A36" s="16" t="s">
        <v>241</v>
      </c>
      <c r="B36" s="16" t="s">
        <v>275</v>
      </c>
      <c r="C36" s="16" t="s">
        <v>62</v>
      </c>
      <c r="D36" s="29" t="n">
        <v>2025</v>
      </c>
      <c r="E36" s="16" t="s">
        <v>208</v>
      </c>
    </row>
    <row r="37" customFormat="false" ht="23.25" hidden="false" customHeight="true" outlineLevel="0" collapsed="false">
      <c r="A37" s="16" t="s">
        <v>241</v>
      </c>
      <c r="B37" s="16" t="s">
        <v>276</v>
      </c>
      <c r="C37" s="16" t="s">
        <v>62</v>
      </c>
      <c r="D37" s="29" t="n">
        <v>2025</v>
      </c>
      <c r="E37" s="16" t="s">
        <v>208</v>
      </c>
    </row>
    <row r="38" customFormat="false" ht="23.25" hidden="false" customHeight="true" outlineLevel="0" collapsed="false">
      <c r="A38" s="16" t="s">
        <v>241</v>
      </c>
      <c r="B38" s="16" t="s">
        <v>244</v>
      </c>
      <c r="C38" s="16" t="s">
        <v>62</v>
      </c>
      <c r="D38" s="29" t="n">
        <v>2024</v>
      </c>
      <c r="E38" s="16" t="s">
        <v>208</v>
      </c>
    </row>
    <row r="39" customFormat="false" ht="23.25" hidden="false" customHeight="true" outlineLevel="0" collapsed="false">
      <c r="A39" s="16" t="s">
        <v>241</v>
      </c>
      <c r="B39" s="16" t="s">
        <v>277</v>
      </c>
      <c r="C39" s="16" t="s">
        <v>62</v>
      </c>
      <c r="D39" s="29" t="n">
        <v>2022</v>
      </c>
      <c r="E39" s="16" t="s">
        <v>208</v>
      </c>
    </row>
    <row r="40" customFormat="false" ht="23.25" hidden="false" customHeight="true" outlineLevel="0" collapsed="false">
      <c r="A40" s="16" t="s">
        <v>241</v>
      </c>
      <c r="B40" s="16" t="s">
        <v>246</v>
      </c>
      <c r="C40" s="16" t="s">
        <v>87</v>
      </c>
      <c r="D40" s="29" t="n">
        <v>2024</v>
      </c>
      <c r="E40" s="16" t="s">
        <v>208</v>
      </c>
    </row>
    <row r="41" customFormat="false" ht="23.25" hidden="false" customHeight="true" outlineLevel="0" collapsed="false">
      <c r="A41" s="16" t="s">
        <v>241</v>
      </c>
      <c r="B41" s="16" t="s">
        <v>278</v>
      </c>
      <c r="C41" s="16" t="s">
        <v>62</v>
      </c>
      <c r="D41" s="29" t="n">
        <v>2022</v>
      </c>
      <c r="E41" s="16" t="s">
        <v>208</v>
      </c>
    </row>
    <row r="42" customFormat="false" ht="23.25" hidden="false" customHeight="true" outlineLevel="0" collapsed="false">
      <c r="A42" s="16" t="s">
        <v>241</v>
      </c>
      <c r="B42" s="16" t="s">
        <v>248</v>
      </c>
      <c r="C42" s="16" t="s">
        <v>62</v>
      </c>
      <c r="D42" s="29" t="n">
        <v>2017</v>
      </c>
      <c r="E42" s="16" t="s">
        <v>208</v>
      </c>
    </row>
    <row r="43" customFormat="false" ht="23.25" hidden="false" customHeight="true" outlineLevel="0" collapsed="false">
      <c r="A43" s="16" t="s">
        <v>241</v>
      </c>
      <c r="B43" s="16" t="s">
        <v>279</v>
      </c>
      <c r="C43" s="16" t="s">
        <v>62</v>
      </c>
      <c r="D43" s="29" t="n">
        <v>2025</v>
      </c>
      <c r="E43" s="16" t="s">
        <v>208</v>
      </c>
    </row>
    <row r="44" customFormat="false" ht="23.25" hidden="false" customHeight="true" outlineLevel="0" collapsed="false">
      <c r="A44" s="16" t="s">
        <v>241</v>
      </c>
      <c r="B44" s="16" t="s">
        <v>192</v>
      </c>
      <c r="C44" s="16" t="s">
        <v>62</v>
      </c>
      <c r="D44" s="29" t="n">
        <v>2024</v>
      </c>
      <c r="E44" s="16" t="s">
        <v>208</v>
      </c>
    </row>
    <row r="45" customFormat="false" ht="23.25" hidden="false" customHeight="true" outlineLevel="0" collapsed="false">
      <c r="A45" s="16" t="s">
        <v>241</v>
      </c>
      <c r="B45" s="16" t="s">
        <v>280</v>
      </c>
      <c r="C45" s="16" t="s">
        <v>122</v>
      </c>
      <c r="D45" s="29" t="n">
        <v>2025</v>
      </c>
      <c r="E45" s="16" t="s">
        <v>208</v>
      </c>
    </row>
    <row r="46" customFormat="false" ht="23.25" hidden="false" customHeight="true" outlineLevel="0" collapsed="false">
      <c r="A46" s="16" t="s">
        <v>241</v>
      </c>
      <c r="B46" s="16" t="s">
        <v>251</v>
      </c>
      <c r="C46" s="16" t="s">
        <v>62</v>
      </c>
      <c r="D46" s="29" t="n">
        <v>2024</v>
      </c>
      <c r="E46" s="16" t="s">
        <v>208</v>
      </c>
    </row>
    <row r="47" customFormat="false" ht="23.25" hidden="false" customHeight="true" outlineLevel="0" collapsed="false">
      <c r="A47" s="16" t="s">
        <v>241</v>
      </c>
      <c r="B47" s="16" t="s">
        <v>281</v>
      </c>
      <c r="C47" s="16" t="s">
        <v>62</v>
      </c>
      <c r="D47" s="29" t="n">
        <v>2025</v>
      </c>
      <c r="E47" s="16" t="s">
        <v>208</v>
      </c>
    </row>
    <row r="48" customFormat="false" ht="23.25" hidden="false" customHeight="true" outlineLevel="0" collapsed="false">
      <c r="A48" s="16" t="s">
        <v>241</v>
      </c>
      <c r="B48" s="16" t="s">
        <v>282</v>
      </c>
      <c r="C48" s="16" t="s">
        <v>62</v>
      </c>
      <c r="D48" s="29" t="n">
        <v>2025</v>
      </c>
      <c r="E48" s="16" t="s">
        <v>208</v>
      </c>
    </row>
    <row r="49" customFormat="false" ht="23.25" hidden="false" customHeight="true" outlineLevel="0" collapsed="false">
      <c r="A49" s="16" t="s">
        <v>241</v>
      </c>
      <c r="B49" s="16" t="s">
        <v>283</v>
      </c>
      <c r="C49" s="16" t="s">
        <v>57</v>
      </c>
      <c r="D49" s="29" t="n">
        <v>2025</v>
      </c>
      <c r="E49" s="16" t="s">
        <v>208</v>
      </c>
    </row>
    <row r="50" customFormat="false" ht="15" hidden="false" customHeight="true" outlineLevel="0" collapsed="false">
      <c r="A50" s="7" t="s">
        <v>241</v>
      </c>
      <c r="B50" s="7" t="s">
        <v>284</v>
      </c>
      <c r="C50" s="7" t="s">
        <v>285</v>
      </c>
      <c r="D50" s="39" t="n">
        <v>2025</v>
      </c>
      <c r="E50" s="7" t="s">
        <v>238</v>
      </c>
    </row>
    <row r="52" customFormat="false" ht="15" hidden="false" customHeight="true" outlineLevel="0" collapsed="false">
      <c r="A52" s="40" t="s">
        <v>286</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0"/>
  </cols>
  <sheetData>
    <row r="1" customFormat="false" ht="17.25" hidden="false" customHeight="true" outlineLevel="0" collapsed="false">
      <c r="A1" s="2" t="s">
        <v>287</v>
      </c>
    </row>
    <row r="3" customFormat="false" ht="57.75" hidden="false" customHeight="true" outlineLevel="0" collapsed="false">
      <c r="A3" s="41" t="s">
        <v>288</v>
      </c>
      <c r="B3" s="7" t="s">
        <v>289</v>
      </c>
    </row>
    <row r="4" customFormat="false" ht="57.75" hidden="false" customHeight="true" outlineLevel="0" collapsed="false">
      <c r="A4" s="41" t="s">
        <v>290</v>
      </c>
      <c r="B4" s="7" t="s">
        <v>291</v>
      </c>
    </row>
    <row r="5" customFormat="false" ht="57.75" hidden="false" customHeight="true" outlineLevel="0" collapsed="false">
      <c r="A5" s="41" t="s">
        <v>292</v>
      </c>
      <c r="B5" s="7" t="s">
        <v>293</v>
      </c>
    </row>
    <row r="6" customFormat="false" ht="57.75" hidden="false" customHeight="true" outlineLevel="0" collapsed="false">
      <c r="A6" s="41" t="s">
        <v>294</v>
      </c>
      <c r="B6" s="7" t="s">
        <v>295</v>
      </c>
    </row>
    <row r="7" customFormat="false" ht="57.75" hidden="false" customHeight="true" outlineLevel="0" collapsed="false">
      <c r="A7" s="41" t="s">
        <v>296</v>
      </c>
      <c r="B7" s="7" t="s">
        <v>297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30"/>
    <col collapsed="false" customWidth="true" hidden="false" outlineLevel="0" max="4" min="4" style="1" width="52"/>
    <col collapsed="false" customWidth="true" hidden="false" outlineLevel="0" max="5" min="5" style="1" width="20"/>
  </cols>
  <sheetData>
    <row r="1" customFormat="false" ht="17.25" hidden="false" customHeight="true" outlineLevel="0" collapsed="false">
      <c r="A1" s="2" t="s">
        <v>298</v>
      </c>
    </row>
    <row r="2" customFormat="false" ht="30" hidden="false" customHeight="true" outlineLevel="0" collapsed="false">
      <c r="A2" s="38" t="s">
        <v>299</v>
      </c>
      <c r="B2" s="38"/>
      <c r="C2" s="38"/>
      <c r="D2" s="38"/>
      <c r="E2" s="38"/>
    </row>
    <row r="4" customFormat="false" ht="27.75" hidden="false" customHeight="true" outlineLevel="0" collapsed="false">
      <c r="A4" s="5" t="s">
        <v>49</v>
      </c>
      <c r="B4" s="5" t="s">
        <v>50</v>
      </c>
      <c r="C4" s="5" t="s">
        <v>300</v>
      </c>
      <c r="D4" s="5" t="s">
        <v>301</v>
      </c>
      <c r="E4" s="5" t="s">
        <v>302</v>
      </c>
    </row>
    <row r="5" customFormat="false" ht="57.75" hidden="false" customHeight="true" outlineLevel="0" collapsed="false">
      <c r="A5" s="6" t="s">
        <v>66</v>
      </c>
      <c r="B5" s="7" t="s">
        <v>62</v>
      </c>
      <c r="C5" s="7" t="s">
        <v>303</v>
      </c>
      <c r="D5" s="7" t="s">
        <v>304</v>
      </c>
      <c r="E5" s="7" t="s">
        <v>305</v>
      </c>
    </row>
    <row r="6" customFormat="false" ht="57.75" hidden="false" customHeight="true" outlineLevel="0" collapsed="false">
      <c r="A6" s="6" t="s">
        <v>83</v>
      </c>
      <c r="B6" s="7" t="s">
        <v>62</v>
      </c>
      <c r="C6" s="7" t="s">
        <v>306</v>
      </c>
      <c r="D6" s="7" t="s">
        <v>307</v>
      </c>
      <c r="E6" s="7" t="s">
        <v>308</v>
      </c>
    </row>
    <row r="7" customFormat="false" ht="57.75" hidden="false" customHeight="true" outlineLevel="0" collapsed="false">
      <c r="A7" s="6" t="s">
        <v>70</v>
      </c>
      <c r="B7" s="7" t="s">
        <v>62</v>
      </c>
      <c r="C7" s="7" t="s">
        <v>309</v>
      </c>
      <c r="D7" s="7" t="s">
        <v>310</v>
      </c>
      <c r="E7" s="7" t="s">
        <v>311</v>
      </c>
    </row>
    <row r="8" customFormat="false" ht="57.75" hidden="false" customHeight="true" outlineLevel="0" collapsed="false">
      <c r="A8" s="6" t="s">
        <v>86</v>
      </c>
      <c r="B8" s="7" t="s">
        <v>87</v>
      </c>
      <c r="C8" s="7" t="s">
        <v>312</v>
      </c>
      <c r="D8" s="7" t="s">
        <v>313</v>
      </c>
      <c r="E8" s="7" t="s">
        <v>314</v>
      </c>
    </row>
    <row r="9" customFormat="false" ht="61.5" hidden="false" customHeight="true" outlineLevel="0" collapsed="false">
      <c r="A9" s="17" t="s">
        <v>315</v>
      </c>
      <c r="B9" s="16" t="s">
        <v>62</v>
      </c>
      <c r="C9" s="16" t="s">
        <v>316</v>
      </c>
      <c r="D9" s="16" t="s">
        <v>317</v>
      </c>
      <c r="E9" s="16" t="s">
        <v>318</v>
      </c>
    </row>
    <row r="10" customFormat="false" ht="57.75" hidden="false" customHeight="true" outlineLevel="0" collapsed="false">
      <c r="A10" s="13" t="s">
        <v>56</v>
      </c>
      <c r="B10" s="12" t="s">
        <v>57</v>
      </c>
      <c r="C10" s="12" t="s">
        <v>319</v>
      </c>
      <c r="D10" s="12" t="s">
        <v>320</v>
      </c>
      <c r="E10" s="12" t="s">
        <v>60</v>
      </c>
    </row>
    <row r="11" customFormat="false" ht="57.75" hidden="false" customHeight="true" outlineLevel="0" collapsed="false">
      <c r="A11" s="13" t="s">
        <v>79</v>
      </c>
      <c r="B11" s="12" t="s">
        <v>80</v>
      </c>
      <c r="C11" s="12" t="s">
        <v>321</v>
      </c>
      <c r="D11" s="12" t="s">
        <v>322</v>
      </c>
      <c r="E11" s="12" t="s">
        <v>323</v>
      </c>
    </row>
    <row r="12" customFormat="false" ht="57.75" hidden="false" customHeight="true" outlineLevel="0" collapsed="false">
      <c r="A12" s="17" t="s">
        <v>102</v>
      </c>
      <c r="B12" s="16" t="s">
        <v>62</v>
      </c>
      <c r="C12" s="16" t="s">
        <v>324</v>
      </c>
      <c r="D12" s="16" t="s">
        <v>325</v>
      </c>
      <c r="E12" s="16" t="s">
        <v>326</v>
      </c>
    </row>
    <row r="13" customFormat="false" ht="57.75" hidden="false" customHeight="true" outlineLevel="0" collapsed="false">
      <c r="A13" s="17" t="s">
        <v>106</v>
      </c>
      <c r="B13" s="16" t="s">
        <v>62</v>
      </c>
      <c r="C13" s="16" t="s">
        <v>327</v>
      </c>
      <c r="D13" s="16" t="s">
        <v>328</v>
      </c>
      <c r="E13" s="16" t="s">
        <v>329</v>
      </c>
    </row>
    <row r="14" customFormat="false" ht="57.75" hidden="false" customHeight="true" outlineLevel="0" collapsed="false">
      <c r="A14" s="17" t="s">
        <v>109</v>
      </c>
      <c r="B14" s="16" t="s">
        <v>110</v>
      </c>
      <c r="C14" s="16" t="s">
        <v>330</v>
      </c>
      <c r="D14" s="16" t="s">
        <v>331</v>
      </c>
      <c r="E14" s="16" t="s">
        <v>326</v>
      </c>
    </row>
    <row r="15" customFormat="false" ht="57.75" hidden="false" customHeight="true" outlineLevel="0" collapsed="false">
      <c r="A15" s="17" t="s">
        <v>113</v>
      </c>
      <c r="B15" s="16" t="s">
        <v>114</v>
      </c>
      <c r="C15" s="16" t="s">
        <v>332</v>
      </c>
      <c r="D15" s="16" t="s">
        <v>333</v>
      </c>
      <c r="E15" s="16" t="s">
        <v>334</v>
      </c>
    </row>
    <row r="16" customFormat="false" ht="57.75" hidden="false" customHeight="true" outlineLevel="0" collapsed="false">
      <c r="A16" s="17" t="s">
        <v>117</v>
      </c>
      <c r="B16" s="16" t="s">
        <v>62</v>
      </c>
      <c r="C16" s="16" t="s">
        <v>335</v>
      </c>
      <c r="D16" s="16" t="s">
        <v>336</v>
      </c>
      <c r="E16" s="16" t="s">
        <v>337</v>
      </c>
    </row>
    <row r="17" customFormat="false" ht="57.75" hidden="false" customHeight="true" outlineLevel="0" collapsed="false">
      <c r="A17" s="9" t="s">
        <v>338</v>
      </c>
      <c r="B17" s="10" t="s">
        <v>122</v>
      </c>
      <c r="C17" s="10" t="s">
        <v>335</v>
      </c>
      <c r="D17" s="10" t="s">
        <v>339</v>
      </c>
      <c r="E17" s="10" t="s">
        <v>340</v>
      </c>
    </row>
    <row r="18" customFormat="false" ht="57.75" hidden="false" customHeight="true" outlineLevel="0" collapsed="false">
      <c r="A18" s="9" t="s">
        <v>341</v>
      </c>
      <c r="B18" s="10" t="s">
        <v>75</v>
      </c>
      <c r="C18" s="10" t="s">
        <v>335</v>
      </c>
      <c r="D18" s="10" t="s">
        <v>342</v>
      </c>
      <c r="E18" s="10" t="s">
        <v>343</v>
      </c>
    </row>
    <row r="19" customFormat="false" ht="57.75" hidden="false" customHeight="true" outlineLevel="0" collapsed="false">
      <c r="A19" s="9" t="s">
        <v>344</v>
      </c>
      <c r="B19" s="10" t="s">
        <v>75</v>
      </c>
      <c r="C19" s="10" t="s">
        <v>345</v>
      </c>
      <c r="D19" s="10" t="s">
        <v>346</v>
      </c>
      <c r="E19" s="10" t="s">
        <v>347</v>
      </c>
    </row>
    <row r="20" customFormat="false" ht="57.75" hidden="false" customHeight="true" outlineLevel="0" collapsed="false">
      <c r="A20" s="42" t="s">
        <v>348</v>
      </c>
      <c r="B20" s="43" t="s">
        <v>349</v>
      </c>
      <c r="C20" s="43" t="s">
        <v>335</v>
      </c>
      <c r="D20" s="43" t="s">
        <v>350</v>
      </c>
      <c r="E20" s="43" t="s">
        <v>351</v>
      </c>
    </row>
    <row r="21" customFormat="false" ht="57.75" hidden="false" customHeight="true" outlineLevel="0" collapsed="false">
      <c r="A21" s="42" t="s">
        <v>352</v>
      </c>
      <c r="B21" s="43" t="s">
        <v>62</v>
      </c>
      <c r="C21" s="43" t="s">
        <v>324</v>
      </c>
      <c r="D21" s="43" t="s">
        <v>353</v>
      </c>
      <c r="E21" s="43" t="s">
        <v>354</v>
      </c>
    </row>
    <row r="22" customFormat="false" ht="57.75" hidden="false" customHeight="true" outlineLevel="0" collapsed="false">
      <c r="A22" s="42" t="s">
        <v>355</v>
      </c>
      <c r="B22" s="43" t="s">
        <v>356</v>
      </c>
      <c r="C22" s="43" t="s">
        <v>357</v>
      </c>
      <c r="D22" s="43" t="s">
        <v>358</v>
      </c>
      <c r="E22" s="43" t="s">
        <v>354</v>
      </c>
    </row>
    <row r="23" customFormat="false" ht="57.75" hidden="false" customHeight="true" outlineLevel="0" collapsed="false">
      <c r="A23" s="42" t="s">
        <v>359</v>
      </c>
      <c r="B23" s="43" t="s">
        <v>87</v>
      </c>
      <c r="C23" s="43" t="s">
        <v>360</v>
      </c>
      <c r="D23" s="43" t="s">
        <v>361</v>
      </c>
      <c r="E23" s="43" t="s">
        <v>354</v>
      </c>
    </row>
    <row r="25" customFormat="false" ht="15" hidden="false" customHeight="true" outlineLevel="0" collapsed="false">
      <c r="A25" s="40" t="s">
        <v>362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2026-07-31T02:44:17Z</dcterms:created>
  <dc:creator>openpyxl</dc:creator>
  <dc:description/>
  <dc:language>en-US</dc:language>
  <cp:lastModifiedBy/>
  <dcterms:modified xsi:type="dcterms:W3CDTF">2026-07-31T03:11:52Z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